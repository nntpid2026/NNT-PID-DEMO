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ZARAFSHA\For Software purpose\"/>
    </mc:Choice>
  </mc:AlternateContent>
  <xr:revisionPtr revIDLastSave="0" documentId="13_ncr:1_{BDC803CA-5DC9-4B45-8C90-16D53CE17130}" xr6:coauthVersionLast="47" xr6:coauthVersionMax="47" xr10:uidLastSave="{00000000-0000-0000-0000-000000000000}"/>
  <bookViews>
    <workbookView xWindow="-108" yWindow="-108" windowWidth="23256" windowHeight="12456" firstSheet="9" activeTab="12" xr2:uid="{3DC27579-BA8C-445C-934C-8B90C77442EE}"/>
  </bookViews>
  <sheets>
    <sheet name="REVISION SHEET" sheetId="2" r:id="rId1"/>
    <sheet name="BOM - P33 - VD SKID" sheetId="1" r:id="rId2"/>
    <sheet name="P33- Pipe &amp; Fittings" sheetId="6" r:id="rId3"/>
    <sheet name="P33 - MTO - VALVES" sheetId="7" r:id="rId4"/>
    <sheet name="TCV" sheetId="8" r:id="rId5"/>
    <sheet name="TT" sheetId="9" r:id="rId6"/>
    <sheet name="NUT &amp; BOLTS" sheetId="10" r:id="rId7"/>
    <sheet name="EQUIP. INSULATION" sheetId="11" r:id="rId8"/>
    <sheet name="BOQ - INSULATION" sheetId="12" r:id="rId9"/>
    <sheet name="COLOR &amp; RED OXIDE" sheetId="13" r:id="rId10"/>
    <sheet name="POWER CABLE- Calculation" sheetId="14" r:id="rId11"/>
    <sheet name="BOQ - Cable Length" sheetId="15" r:id="rId12"/>
    <sheet name="BOQ - CABLE TRAY &amp; SUPPORT" sheetId="16" r:id="rId13"/>
  </sheets>
  <definedNames>
    <definedName name="_xlnm._FilterDatabase" localSheetId="1" hidden="1">'BOM - P33 - VD SKID'!$E$1:$BG$80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4" l="1"/>
  <c r="M23" i="14" s="1"/>
  <c r="J23" i="14"/>
  <c r="F23" i="14"/>
  <c r="J17" i="14"/>
  <c r="F17" i="14"/>
  <c r="K17" i="14" s="1"/>
  <c r="M17" i="14" s="1"/>
  <c r="K10" i="14"/>
  <c r="M10" i="14" s="1"/>
  <c r="J10" i="14"/>
  <c r="F10" i="14"/>
  <c r="J8" i="14"/>
  <c r="F8" i="14"/>
  <c r="K8" i="14" s="1"/>
  <c r="M8" i="14" s="1"/>
  <c r="J6" i="14"/>
  <c r="K6" i="14" s="1"/>
  <c r="M6" i="14" s="1"/>
  <c r="F6" i="14"/>
  <c r="J5" i="14"/>
  <c r="F5" i="14"/>
  <c r="K5" i="14" s="1"/>
  <c r="M5" i="14" s="1"/>
  <c r="K22" i="13" l="1"/>
  <c r="L22" i="13" s="1"/>
  <c r="L23" i="13" s="1"/>
  <c r="K18" i="13"/>
  <c r="L18" i="13" s="1"/>
  <c r="L19" i="13" s="1"/>
  <c r="L14" i="13"/>
  <c r="K14" i="13"/>
  <c r="L13" i="13"/>
  <c r="K13" i="13"/>
  <c r="K12" i="13"/>
  <c r="L12" i="13" s="1"/>
  <c r="L15" i="13" s="1"/>
  <c r="F9" i="13"/>
  <c r="F10" i="13" s="1"/>
  <c r="E9" i="13"/>
  <c r="L8" i="13"/>
  <c r="K8" i="13"/>
  <c r="K7" i="13"/>
  <c r="L7" i="13" s="1"/>
  <c r="K6" i="13"/>
  <c r="L6" i="13" s="1"/>
  <c r="K5" i="13"/>
  <c r="L5" i="13" s="1"/>
  <c r="L9" i="13" s="1"/>
  <c r="E5" i="13"/>
  <c r="F5" i="13" s="1"/>
  <c r="F6" i="13" s="1"/>
  <c r="S7" i="11" l="1"/>
  <c r="H7" i="11"/>
  <c r="L7" i="11" s="1"/>
  <c r="S6" i="11"/>
  <c r="L6" i="11"/>
  <c r="H6" i="11"/>
  <c r="K6" i="11" s="1"/>
  <c r="T6" i="11" s="1"/>
  <c r="M6" i="11" l="1"/>
  <c r="N6" i="11" s="1"/>
  <c r="P6" i="11" s="1"/>
  <c r="K7" i="11"/>
  <c r="T7" i="11" s="1"/>
  <c r="M7" i="11" l="1"/>
  <c r="N7" i="11" s="1"/>
  <c r="P7" i="11" s="1"/>
  <c r="R6" i="11"/>
  <c r="Q6" i="11"/>
  <c r="R7" i="11" l="1"/>
  <c r="Q7" i="11"/>
  <c r="R9" i="11"/>
  <c r="P9" i="11"/>
  <c r="E44" i="10"/>
  <c r="E40" i="10"/>
  <c r="E39" i="10"/>
  <c r="E34" i="10"/>
  <c r="E30" i="10"/>
  <c r="E29" i="10"/>
  <c r="E28" i="10"/>
  <c r="E24" i="10"/>
  <c r="E20" i="10"/>
  <c r="E19" i="10"/>
  <c r="E18" i="10"/>
  <c r="H14" i="10"/>
  <c r="F14" i="10"/>
  <c r="F13" i="10"/>
  <c r="H13" i="10" s="1"/>
  <c r="H12" i="10"/>
  <c r="F12" i="10"/>
  <c r="H11" i="10"/>
  <c r="F11" i="10"/>
  <c r="H7" i="10"/>
  <c r="F7" i="10"/>
  <c r="F6" i="10"/>
  <c r="H6" i="10" s="1"/>
  <c r="H5" i="10"/>
  <c r="F5" i="10"/>
  <c r="H4" i="10"/>
  <c r="F4" i="10"/>
  <c r="M6" i="9" l="1"/>
  <c r="M6" i="8"/>
  <c r="BI58" i="1" l="1"/>
  <c r="BJ58" i="1" s="1"/>
  <c r="BK58" i="1" s="1"/>
  <c r="BI53" i="1"/>
  <c r="BJ53" i="1" s="1"/>
  <c r="BK53" i="1" s="1"/>
  <c r="BI48" i="1"/>
  <c r="BJ48" i="1" s="1"/>
  <c r="BK48" i="1" s="1"/>
  <c r="BI46" i="1"/>
  <c r="BJ46" i="1" s="1"/>
  <c r="BK46" i="1" s="1"/>
  <c r="BI43" i="1"/>
  <c r="BJ43" i="1" s="1"/>
  <c r="BK43" i="1" s="1"/>
  <c r="BI40" i="1"/>
  <c r="BJ40" i="1" s="1"/>
  <c r="BK40" i="1" s="1"/>
  <c r="BI35" i="1"/>
  <c r="BJ35" i="1" s="1"/>
  <c r="BK35" i="1" s="1"/>
  <c r="BI33" i="1"/>
  <c r="BJ33" i="1" s="1"/>
  <c r="BK33" i="1" s="1"/>
  <c r="BI29" i="1"/>
  <c r="BJ29" i="1" s="1"/>
  <c r="BK29" i="1" s="1"/>
  <c r="BI26" i="1"/>
  <c r="BJ26" i="1" s="1"/>
  <c r="BK26" i="1" s="1"/>
  <c r="BI12" i="1"/>
  <c r="BJ12" i="1" s="1"/>
  <c r="BK12" i="1" s="1"/>
  <c r="BI9" i="1"/>
  <c r="BJ9" i="1" s="1"/>
  <c r="BK9" i="1" s="1"/>
  <c r="BL9" i="1" s="1"/>
  <c r="BL58" i="1" l="1"/>
  <c r="BM58" i="1"/>
  <c r="BM53" i="1"/>
  <c r="BL53" i="1"/>
  <c r="BL48" i="1"/>
  <c r="BM48" i="1"/>
  <c r="BL46" i="1"/>
  <c r="BM46" i="1"/>
  <c r="BL43" i="1"/>
  <c r="BM43" i="1"/>
  <c r="BL40" i="1"/>
  <c r="BM40" i="1"/>
  <c r="BM35" i="1"/>
  <c r="BL35" i="1"/>
  <c r="BM33" i="1"/>
  <c r="BL33" i="1"/>
  <c r="BL29" i="1"/>
  <c r="BM29" i="1"/>
  <c r="BM26" i="1"/>
  <c r="BL26" i="1"/>
  <c r="BM12" i="1"/>
  <c r="BL12" i="1"/>
  <c r="BM9" i="1"/>
</calcChain>
</file>

<file path=xl/sharedStrings.xml><?xml version="1.0" encoding="utf-8"?>
<sst xmlns="http://schemas.openxmlformats.org/spreadsheetml/2006/main" count="1251" uniqueCount="404">
  <si>
    <t>Line Description</t>
  </si>
  <si>
    <t>Duty</t>
  </si>
  <si>
    <t>Pipe</t>
  </si>
  <si>
    <t>Valve</t>
  </si>
  <si>
    <t>Reducers</t>
  </si>
  <si>
    <t>Flanges</t>
  </si>
  <si>
    <t>Elbow</t>
  </si>
  <si>
    <t>Blind Flanges</t>
  </si>
  <si>
    <t>TEE</t>
  </si>
  <si>
    <t>Pressure Instruments</t>
  </si>
  <si>
    <t>Temp Instruments</t>
  </si>
  <si>
    <t>Flow Instruments</t>
  </si>
  <si>
    <t>Strainer</t>
  </si>
  <si>
    <t>TRAP</t>
  </si>
  <si>
    <t>Socket</t>
  </si>
  <si>
    <t>Nipple</t>
  </si>
  <si>
    <t>Misc.</t>
  </si>
  <si>
    <t>Remarks</t>
  </si>
  <si>
    <t>Insulation</t>
  </si>
  <si>
    <t>Sr. No.</t>
  </si>
  <si>
    <t>Line No.</t>
  </si>
  <si>
    <t xml:space="preserve">From </t>
  </si>
  <si>
    <t>To</t>
  </si>
  <si>
    <t>Size(NB)</t>
  </si>
  <si>
    <t>MOC</t>
  </si>
  <si>
    <t>Insulation Thickness</t>
  </si>
  <si>
    <t>Insulation Type</t>
  </si>
  <si>
    <t>Length(m)</t>
  </si>
  <si>
    <t>No</t>
  </si>
  <si>
    <t>Type</t>
  </si>
  <si>
    <t>Size</t>
  </si>
  <si>
    <t>Body</t>
  </si>
  <si>
    <t>Internal</t>
  </si>
  <si>
    <t>NOS</t>
  </si>
  <si>
    <t>Temp.</t>
  </si>
  <si>
    <t>Pipe OD.(NB)</t>
  </si>
  <si>
    <t>INSULATION 
THICKNESS
(MM)</t>
  </si>
  <si>
    <t>INS. OD.</t>
  </si>
  <si>
    <t>TOTAL INSU. AREA 
(SQ. MTR.)</t>
  </si>
  <si>
    <t xml:space="preserve">INSU. AREA
 WITH 10% </t>
  </si>
  <si>
    <t>ROCKWOOL
 (KG)</t>
  </si>
  <si>
    <t>ALUMINIUM 
CLADDING
(KG)</t>
  </si>
  <si>
    <t>OIL MILL</t>
  </si>
  <si>
    <t>VD101</t>
  </si>
  <si>
    <t>SS304</t>
  </si>
  <si>
    <t>R</t>
  </si>
  <si>
    <t>V1</t>
  </si>
  <si>
    <t>BALL</t>
  </si>
  <si>
    <t>P101</t>
  </si>
  <si>
    <t>OC102</t>
  </si>
  <si>
    <t>BF</t>
  </si>
  <si>
    <t>R1</t>
  </si>
  <si>
    <t>CON</t>
  </si>
  <si>
    <t>STORAGE</t>
  </si>
  <si>
    <t>ECN</t>
  </si>
  <si>
    <t>NRV</t>
  </si>
  <si>
    <t>V2</t>
  </si>
  <si>
    <t>R2</t>
  </si>
  <si>
    <t>V3</t>
  </si>
  <si>
    <t>FROM BOILER</t>
  </si>
  <si>
    <t>MS104</t>
  </si>
  <si>
    <t xml:space="preserve"> STEAM HEADER</t>
  </si>
  <si>
    <t>CON HEADER</t>
  </si>
  <si>
    <t>-</t>
  </si>
  <si>
    <t>TO DRAIN</t>
  </si>
  <si>
    <t>T103</t>
  </si>
  <si>
    <t>V4</t>
  </si>
  <si>
    <t>P103</t>
  </si>
  <si>
    <t>OIL</t>
  </si>
  <si>
    <t>LST</t>
  </si>
  <si>
    <t>VAC</t>
  </si>
  <si>
    <t>CSSL</t>
  </si>
  <si>
    <t>CS</t>
  </si>
  <si>
    <t>PISTON/ST</t>
  </si>
  <si>
    <t>TCV</t>
  </si>
  <si>
    <t>65X50</t>
  </si>
  <si>
    <t>80X50</t>
  </si>
  <si>
    <t>50X40</t>
  </si>
  <si>
    <t>50X25</t>
  </si>
  <si>
    <t>FLOAT</t>
  </si>
  <si>
    <t xml:space="preserve">PG </t>
  </si>
  <si>
    <t>Line Wise Bill of Material - Vacuum Drying System - 500 LPH</t>
  </si>
  <si>
    <t>COOLING TOWER</t>
  </si>
  <si>
    <t>Nut Bolt (SET)</t>
  </si>
  <si>
    <t>SAMPLE</t>
  </si>
  <si>
    <t>1/2"BSP</t>
  </si>
  <si>
    <t>Size   (NB/BSP)</t>
  </si>
  <si>
    <t>1/2" BSP</t>
  </si>
  <si>
    <t>Size (NB/BSP)</t>
  </si>
  <si>
    <t>DRAIN</t>
  </si>
  <si>
    <t>ATMOSPHERE</t>
  </si>
  <si>
    <t>25X15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</si>
  <si>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</si>
  <si>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</si>
  <si>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</si>
  <si>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</si>
  <si>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</si>
  <si>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</si>
  <si>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</si>
  <si>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</si>
  <si>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</si>
  <si>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</si>
  <si>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</si>
  <si>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</si>
  <si>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</si>
  <si>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</si>
  <si>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</si>
  <si>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</si>
  <si>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</si>
  <si>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</si>
  <si>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</si>
  <si>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</si>
  <si>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00</t>
  </si>
  <si>
    <t>For Review &amp; Comment</t>
  </si>
  <si>
    <t>KHIZER / AHMAD</t>
  </si>
  <si>
    <t>REV</t>
  </si>
  <si>
    <t>DATE</t>
  </si>
  <si>
    <t>DESCRIPTION</t>
  </si>
  <si>
    <t>PREPARED BY</t>
  </si>
  <si>
    <t>REVIEWED &amp; APPROVED BY</t>
  </si>
  <si>
    <t>DOC. NO. :</t>
  </si>
  <si>
    <t>PROJECT</t>
  </si>
  <si>
    <t xml:space="preserve">PROJECT SECTION </t>
  </si>
  <si>
    <t>REVISION</t>
  </si>
  <si>
    <t>CW</t>
  </si>
  <si>
    <t>VACUUM DRYING SYSTEM - 500 LPH</t>
  </si>
  <si>
    <t>ZARAFSHA</t>
  </si>
  <si>
    <t>YST</t>
  </si>
  <si>
    <t>SR. NO.</t>
  </si>
  <si>
    <t>P33 - MATERIAL TAKE OFF - VACUUM DRYING SYSTEM - 500 LPH</t>
  </si>
  <si>
    <t>Pipes</t>
  </si>
  <si>
    <t>MOC
SS304</t>
  </si>
  <si>
    <t>Type
ERW SCH10</t>
  </si>
  <si>
    <t xml:space="preserve">Application
Veg Oil </t>
  </si>
  <si>
    <t>15 NB</t>
  </si>
  <si>
    <t>50 NB</t>
  </si>
  <si>
    <t>UNIT</t>
  </si>
  <si>
    <t xml:space="preserve">Quantity </t>
  </si>
  <si>
    <t>MTR</t>
  </si>
  <si>
    <t>MOC
CSSL</t>
  </si>
  <si>
    <t>Type
Seamless SCH10</t>
  </si>
  <si>
    <t>Application
Steam - 3.5 Kg/Cm2</t>
  </si>
  <si>
    <t>25 NB</t>
  </si>
  <si>
    <t>40 NB</t>
  </si>
  <si>
    <t>MOC
CS</t>
  </si>
  <si>
    <t>Type
ERW CLASS C</t>
  </si>
  <si>
    <t>Application
Condensate</t>
  </si>
  <si>
    <t>Application
Chilling Water / Cooling Water</t>
  </si>
  <si>
    <t>Application
VACUUM</t>
  </si>
  <si>
    <t>80 NB</t>
  </si>
  <si>
    <t>Reducer</t>
  </si>
  <si>
    <t>Type
Concentric</t>
  </si>
  <si>
    <r>
      <t>MOC 
SS304 - ERW</t>
    </r>
    <r>
      <rPr>
        <b/>
        <i/>
        <sz val="10"/>
        <color rgb="FFFF0000"/>
        <rFont val="Century Gothic"/>
        <family val="2"/>
      </rPr>
      <t>SCH10</t>
    </r>
  </si>
  <si>
    <t>50 X 25</t>
  </si>
  <si>
    <t>50 X 65</t>
  </si>
  <si>
    <t>50 X 80</t>
  </si>
  <si>
    <r>
      <t>MOC 
CS -</t>
    </r>
    <r>
      <rPr>
        <b/>
        <i/>
        <sz val="10"/>
        <color rgb="FFFF0000"/>
        <rFont val="Century Gothic"/>
        <family val="2"/>
      </rPr>
      <t>Seamless SCH10</t>
    </r>
  </si>
  <si>
    <t>50 X 40</t>
  </si>
  <si>
    <t>25 X 15</t>
  </si>
  <si>
    <t>Type
Eccentric</t>
  </si>
  <si>
    <t xml:space="preserve"> 50 X 25</t>
  </si>
  <si>
    <t>Flange</t>
  </si>
  <si>
    <t>Type
SORF #150</t>
  </si>
  <si>
    <t>65 NB</t>
  </si>
  <si>
    <t>Application
Vacuum</t>
  </si>
  <si>
    <t>Blind Flange</t>
  </si>
  <si>
    <t>Type
90° LR</t>
  </si>
  <si>
    <t>Pressure Gauge With Syphon - Needle Valve - Socket</t>
  </si>
  <si>
    <t>Process Connection
1/2" BSP (M)</t>
  </si>
  <si>
    <t>Dial Size
4"</t>
  </si>
  <si>
    <t>Dampening Liquid Filled, Glycerine</t>
  </si>
  <si>
    <t>Pressure Range
(0-7) Kg/Cm2</t>
  </si>
  <si>
    <t xml:space="preserve">Ingress protection
IP 65 </t>
  </si>
  <si>
    <t>Syphon Type</t>
  </si>
  <si>
    <t>U</t>
  </si>
  <si>
    <t>Y Type Strainer With Nipple</t>
  </si>
  <si>
    <t>End Connection
Screw End (BSP)(F)</t>
  </si>
  <si>
    <t>MOC
Body - CS
Internal - SS304</t>
  </si>
  <si>
    <t>Opt. Temp. 
(0-100) Deg C</t>
  </si>
  <si>
    <t>Opt. Pressure
(0-7) Kg/Cm2</t>
  </si>
  <si>
    <t>Float With Nipple</t>
  </si>
  <si>
    <t>MOC
Body - CI
Internal - SS304</t>
  </si>
  <si>
    <t>NIBR Approved</t>
  </si>
  <si>
    <t>PG Threaded Socket</t>
  </si>
  <si>
    <t>Connection Type
 BSP(F)</t>
  </si>
  <si>
    <t>Rating
#2000</t>
  </si>
  <si>
    <t>1/2"</t>
  </si>
  <si>
    <t>Threaded Nipple</t>
  </si>
  <si>
    <t>Connection Type
BSP(M)</t>
  </si>
  <si>
    <t>MOC
MS</t>
  </si>
  <si>
    <t xml:space="preserve">Length
6'' </t>
  </si>
  <si>
    <t>EQUIPMENT ESSEMBLY</t>
  </si>
  <si>
    <t>Temperature Guage</t>
  </si>
  <si>
    <t>Stem
8 mm Dia.
300 mm Length</t>
  </si>
  <si>
    <t>OP. Temp.
(0-110) Deg. C</t>
  </si>
  <si>
    <t>Application
Veg Oil</t>
  </si>
  <si>
    <t>Equipment Tag No.</t>
  </si>
  <si>
    <t>Vacuum Gauge</t>
  </si>
  <si>
    <t>End Connection
Flange End</t>
  </si>
  <si>
    <t>Dial Size
6"</t>
  </si>
  <si>
    <t>Range
(-760mmHg to 0)</t>
  </si>
  <si>
    <t>15NB</t>
  </si>
  <si>
    <t>P33 - MATERIAL TAKE OFF - VALVE - VACUUM DRYING SYSTEM - 500 LPH</t>
  </si>
  <si>
    <t>Ball Valves</t>
  </si>
  <si>
    <t>End Connection 
Socket Weld ASME B16.11,</t>
  </si>
  <si>
    <t xml:space="preserve"> MOC
Body - SS304
Internal - SS304</t>
  </si>
  <si>
    <t>Temperature 
(0-110) deg c</t>
  </si>
  <si>
    <t xml:space="preserve"> MOC
Body - CS
Internal - SS304</t>
  </si>
  <si>
    <t>Temperature 
(0-100) deg c</t>
  </si>
  <si>
    <t xml:space="preserve"> </t>
  </si>
  <si>
    <t xml:space="preserve"> MOC
Body - CS  
Internal - SS304</t>
  </si>
  <si>
    <t>Temperature 
(0-40) deg c</t>
  </si>
  <si>
    <t>Application
Cooling Water</t>
  </si>
  <si>
    <t>Disc Check Valve</t>
  </si>
  <si>
    <t>Type
Disc type</t>
  </si>
  <si>
    <t>MOC
Body - CF8M
DISC : CF8M</t>
  </si>
  <si>
    <t>Temperature
(0-110) deg c</t>
  </si>
  <si>
    <t>MOC
Body - CF8M
DISC - CF8M</t>
  </si>
  <si>
    <t>Temperature
(0-100) deg c</t>
  </si>
  <si>
    <t>Butterfly Valve</t>
  </si>
  <si>
    <t>Type
Wafer</t>
  </si>
  <si>
    <t xml:space="preserve">MOC 
Body - Cast Iron
Internal - SS304 </t>
  </si>
  <si>
    <t>Temperature
(0-50) deg c</t>
  </si>
  <si>
    <t>Piston Valve</t>
  </si>
  <si>
    <t>End Connection
Flanged End SORF #150,</t>
  </si>
  <si>
    <t xml:space="preserve"> MOC
Body - CS Internal - SS304</t>
  </si>
  <si>
    <t>Temprature
(0-150) deg c</t>
  </si>
  <si>
    <t>Pressure
(0-3.5) Kg/Cm2</t>
  </si>
  <si>
    <t xml:space="preserve">Application
Steam, IBR </t>
  </si>
  <si>
    <t>40NB</t>
  </si>
  <si>
    <t>50NB</t>
  </si>
  <si>
    <t>P33 - MATERIAL TAKE OFF - VALVE - TCV -VACUUM DRYING SYSTEM - 500 LPH</t>
  </si>
  <si>
    <t>Equipment Name</t>
  </si>
  <si>
    <t>Material Handled</t>
  </si>
  <si>
    <t>State Of Material</t>
  </si>
  <si>
    <t>Scope</t>
  </si>
  <si>
    <t>Tag.</t>
  </si>
  <si>
    <t>End Connection</t>
  </si>
  <si>
    <t>Line</t>
  </si>
  <si>
    <t>Qty.</t>
  </si>
  <si>
    <t>Pressure kg/cm2</t>
  </si>
  <si>
    <t>Temp. °C</t>
  </si>
  <si>
    <t>Flow (kg/Hr)</t>
  </si>
  <si>
    <t>Slurry</t>
  </si>
  <si>
    <t>Viscosity</t>
  </si>
  <si>
    <t>Actuator</t>
  </si>
  <si>
    <t>Valve Feedback</t>
  </si>
  <si>
    <t>Fail Safe Condition?</t>
  </si>
  <si>
    <t>Size (NB)</t>
  </si>
  <si>
    <t>BODY</t>
  </si>
  <si>
    <t>INTERNAL</t>
  </si>
  <si>
    <t>Min.</t>
  </si>
  <si>
    <t>Max.</t>
  </si>
  <si>
    <t>Nominal</t>
  </si>
  <si>
    <t>%Tage</t>
  </si>
  <si>
    <t>cP</t>
  </si>
  <si>
    <t>Required/ Not Required</t>
  </si>
  <si>
    <t>Fail To Open/ Fail To Close</t>
  </si>
  <si>
    <t xml:space="preserve"> MS104</t>
  </si>
  <si>
    <t>MOISTURE SEPARATOR</t>
  </si>
  <si>
    <t>Steam</t>
  </si>
  <si>
    <t>N&amp;T</t>
  </si>
  <si>
    <t>TCV - MS104</t>
  </si>
  <si>
    <t>GLOBE</t>
  </si>
  <si>
    <t>Flanged End</t>
  </si>
  <si>
    <t>Fail To Close</t>
  </si>
  <si>
    <t>Total</t>
  </si>
  <si>
    <t>P33 - MATERIAL TAKE OFF - VALVE - TT -VACUUM DRYING SYSTEM - 500 LPH</t>
  </si>
  <si>
    <t>Tag</t>
  </si>
  <si>
    <t>Counter End Connection</t>
  </si>
  <si>
    <t xml:space="preserve">Instrument </t>
  </si>
  <si>
    <t>Vessel/Line</t>
  </si>
  <si>
    <t>Thermowell</t>
  </si>
  <si>
    <t>Thermowell with Socket (1/2" BSP (F))</t>
  </si>
  <si>
    <t>Stem with Socket (1/2" BSP (M))</t>
  </si>
  <si>
    <t>Remark</t>
  </si>
  <si>
    <t>with Thermowell</t>
  </si>
  <si>
    <t>Req.</t>
  </si>
  <si>
    <t>Length(mm)</t>
  </si>
  <si>
    <t>Operating</t>
  </si>
  <si>
    <t>Vacuum Dryer</t>
  </si>
  <si>
    <t>Veg Oil</t>
  </si>
  <si>
    <t>Liquid</t>
  </si>
  <si>
    <t>VD101-TT</t>
  </si>
  <si>
    <t>PT100</t>
  </si>
  <si>
    <t>1/2" BSP (M) Thread</t>
  </si>
  <si>
    <t>Vessel</t>
  </si>
  <si>
    <t>40-110</t>
  </si>
  <si>
    <t>NUT BOLT - #150 CLASS FLANGE - VD - MS - Equipment Counter</t>
  </si>
  <si>
    <t>Flange Size</t>
  </si>
  <si>
    <t>SS304-Equ.</t>
  </si>
  <si>
    <t>SS-Pump</t>
  </si>
  <si>
    <t>Other</t>
  </si>
  <si>
    <t>Bolt Per Flange</t>
  </si>
  <si>
    <t>Total Qty.</t>
  </si>
  <si>
    <t>Bolt Size</t>
  </si>
  <si>
    <t>25NB</t>
  </si>
  <si>
    <t>M14X65</t>
  </si>
  <si>
    <t>M14X70</t>
  </si>
  <si>
    <t>M16X85</t>
  </si>
  <si>
    <t>80NB</t>
  </si>
  <si>
    <t>M16X90</t>
  </si>
  <si>
    <t>NUT BOLT - #150 CLASS FLANGE - VD - SS304 - Equipment Counter</t>
  </si>
  <si>
    <t>65NB</t>
  </si>
  <si>
    <t>NUT BOLT - #150 CLASS FLANGE - VD - MS - Pipe</t>
  </si>
  <si>
    <t>UNIT QTY.</t>
  </si>
  <si>
    <t>M14X55</t>
  </si>
  <si>
    <t>NUT BOLT - #150 CLASS FLANGE - VD - SS304 - Pipe</t>
  </si>
  <si>
    <t>NUT BOLT - #150 CLASS FLANGE - VD - MS - Piston Valve</t>
  </si>
  <si>
    <t>NUT BOLT - #150 CLASS FLANGE - VD - MS - Butterfly Valve</t>
  </si>
  <si>
    <t>M16</t>
  </si>
  <si>
    <t>NUT BOLT - #150 CLASS FLANGE - VD - CS - NRV</t>
  </si>
  <si>
    <t>M14</t>
  </si>
  <si>
    <t>NUT BOLT - #150 CLASS FLANGE - VD - CS - TCV</t>
  </si>
  <si>
    <t>M16x85</t>
  </si>
  <si>
    <t>Note</t>
  </si>
  <si>
    <t>Nut Bolt length For BF &amp; NRV Is Not Included</t>
  </si>
  <si>
    <t>Equipment Code</t>
  </si>
  <si>
    <t>Process</t>
  </si>
  <si>
    <t>Ins Thk</t>
  </si>
  <si>
    <t>Dia</t>
  </si>
  <si>
    <t>Ins  dia</t>
  </si>
  <si>
    <t>St Ht</t>
  </si>
  <si>
    <t>Cone / Dish</t>
  </si>
  <si>
    <t>Cyl Area</t>
  </si>
  <si>
    <t>Insulated</t>
  </si>
  <si>
    <t>Insulated Area</t>
  </si>
  <si>
    <t>Qty</t>
  </si>
  <si>
    <t>Total insu.</t>
  </si>
  <si>
    <t>Weight of</t>
  </si>
  <si>
    <t>Al sheet</t>
  </si>
  <si>
    <t>MS Flat</t>
  </si>
  <si>
    <t>Screw</t>
  </si>
  <si>
    <t>OD</t>
  </si>
  <si>
    <t xml:space="preserve">area </t>
  </si>
  <si>
    <t>Area</t>
  </si>
  <si>
    <t>10 %Margin</t>
  </si>
  <si>
    <t>LRB Slab</t>
  </si>
  <si>
    <t>24G</t>
  </si>
  <si>
    <t>25x3</t>
  </si>
  <si>
    <t>mm</t>
  </si>
  <si>
    <t>m2</t>
  </si>
  <si>
    <t>N</t>
  </si>
  <si>
    <t>Kg</t>
  </si>
  <si>
    <t>Nos</t>
  </si>
  <si>
    <r>
      <t>40-110</t>
    </r>
    <r>
      <rPr>
        <sz val="10"/>
        <rFont val="Aptos Narrow"/>
        <family val="2"/>
      </rPr>
      <t>°</t>
    </r>
  </si>
  <si>
    <t>BOQ - Insulation - Pipe - Vacuum Drying System - P33</t>
  </si>
  <si>
    <t>THICKNESS</t>
  </si>
  <si>
    <t>25 MM</t>
  </si>
  <si>
    <t>40 MM</t>
  </si>
  <si>
    <t>QTY.</t>
  </si>
  <si>
    <t>ROCKWOOL</t>
  </si>
  <si>
    <t>Sq. Meter</t>
  </si>
  <si>
    <t>24 GAUGE</t>
  </si>
  <si>
    <t>ALLUMINIUM CLADDING</t>
  </si>
  <si>
    <t>KG</t>
  </si>
  <si>
    <t>BOQ - Insulation - Equipment - Vacuum Drying System - P33</t>
  </si>
  <si>
    <t>65MM</t>
  </si>
  <si>
    <t>SQ M FOR COLOUR - PIPE</t>
  </si>
  <si>
    <t>SQ M FOR RED OXIDE - PIPE</t>
  </si>
  <si>
    <t>COOLING WATER</t>
  </si>
  <si>
    <t>STEAM</t>
  </si>
  <si>
    <t>VACUUM</t>
  </si>
  <si>
    <t>CONDENSATE</t>
  </si>
  <si>
    <t>Total Red Oxide</t>
  </si>
  <si>
    <t>SQ M</t>
  </si>
  <si>
    <t>BOQ - Cable Length - Vacuum Drying System - P33</t>
  </si>
  <si>
    <t>Equ. Code</t>
  </si>
  <si>
    <t>Horizontal run</t>
  </si>
  <si>
    <t>Vertical Run</t>
  </si>
  <si>
    <t>Bend Allowance</t>
  </si>
  <si>
    <t>Panel Termination</t>
  </si>
  <si>
    <t>Equ. Termination</t>
  </si>
  <si>
    <t>Slack loop</t>
  </si>
  <si>
    <t>Spare</t>
  </si>
  <si>
    <t>Final</t>
  </si>
  <si>
    <t>AGITATOR</t>
  </si>
  <si>
    <t>METER</t>
  </si>
  <si>
    <t>Push Button</t>
  </si>
  <si>
    <t>PUMP</t>
  </si>
  <si>
    <t>P103(VP)</t>
  </si>
  <si>
    <t>VACUUM PUMP</t>
  </si>
  <si>
    <t>BOQ - TCV - Cable Length - Vacuum Drying System - P33</t>
  </si>
  <si>
    <t>Eqi. Disc.</t>
  </si>
  <si>
    <t>TCV-MS104</t>
  </si>
  <si>
    <t>BOQ - TEMPERATURE TRANSMITER - Cable Length - Vacuum Drying System - P34</t>
  </si>
  <si>
    <t>TT</t>
  </si>
  <si>
    <t>BOQ - Power - Cable Length - Vacuum Drying System - P33</t>
  </si>
  <si>
    <t>BOQ - TT - Cable Length - Vacuum Drying System - P33</t>
  </si>
  <si>
    <t>BOQ - Cable Tray - Vacuum Drying System - P33</t>
  </si>
  <si>
    <t>Perforated Cable Tray</t>
  </si>
  <si>
    <t xml:space="preserve">50MM x 50MM x 1.5MM </t>
  </si>
  <si>
    <t>100MM x 50MM x 1.5MM</t>
  </si>
  <si>
    <t>Unit</t>
  </si>
  <si>
    <t>GI</t>
  </si>
  <si>
    <t>Meter</t>
  </si>
  <si>
    <t>BOQ - Support Material - Vacuum Drying System - P33</t>
  </si>
  <si>
    <t>Cable Tray &amp; Pipe Duct Support</t>
  </si>
  <si>
    <t>ISMC 100X50</t>
  </si>
  <si>
    <t>ISA 50X50X5MM</t>
  </si>
  <si>
    <t>MS</t>
  </si>
  <si>
    <t>BOQ - Earthing Strip - Vacuum Drying System - P33</t>
  </si>
  <si>
    <t>Earthing Strip</t>
  </si>
  <si>
    <t>25X3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</si>
</sst>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\-mm\-yyyy"/>
  </numFmts>
  <fonts count="40" x14ac:knownFonts="1">
    <font>
      <sz val="11"/>
      <color theme="1"/>
      <name val="Aptos Narrow"/>
      <family val="2"/>
      <scheme val="minor"/>
    </font>
    <font>
      <b/>
      <sz val="11"/>
      <name val="Century Gothic"/>
      <family val="2"/>
    </font>
    <font>
      <sz val="11"/>
      <color rgb="FFFF0000"/>
      <name val="Century Gothic"/>
      <family val="2"/>
    </font>
    <font>
      <b/>
      <sz val="11"/>
      <color theme="8" tint="-0.249977111117893"/>
      <name val="Century Gothic"/>
      <family val="2"/>
    </font>
    <font>
      <b/>
      <sz val="11"/>
      <color theme="1"/>
      <name val="Century Gothic"/>
      <family val="2"/>
    </font>
    <font>
      <b/>
      <sz val="11"/>
      <color rgb="FFFF0000"/>
      <name val="Century Gothic"/>
      <family val="2"/>
    </font>
    <font>
      <b/>
      <sz val="11"/>
      <color rgb="FF7030A0"/>
      <name val="Century Gothic"/>
      <family val="2"/>
    </font>
    <font>
      <sz val="11"/>
      <color theme="1"/>
      <name val="Century Gothic"/>
      <family val="2"/>
    </font>
    <font>
      <sz val="11"/>
      <color rgb="FF7030A0"/>
      <name val="Century Gothic"/>
      <family val="2"/>
    </font>
    <font>
      <sz val="11"/>
      <name val="Century Gothic"/>
      <family val="2"/>
    </font>
    <font>
      <sz val="8"/>
      <name val="Aptos Narrow"/>
      <family val="2"/>
      <scheme val="minor"/>
    </font>
    <font>
      <sz val="8.5"/>
      <name val="Century Gothic"/>
      <family val="2"/>
    </font>
    <font>
      <b/>
      <sz val="9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sz val="11"/>
      <color theme="1"/>
      <name val="Aptos Narrow"/>
      <family val="2"/>
      <scheme val="minor"/>
    </font>
    <font>
      <b/>
      <sz val="12"/>
      <color theme="1"/>
      <name val="Century Gothic"/>
      <family val="2"/>
    </font>
    <font>
      <b/>
      <i/>
      <sz val="11"/>
      <color rgb="FFFF0000"/>
      <name val="Century Gothic"/>
      <family val="2"/>
    </font>
    <font>
      <b/>
      <sz val="11"/>
      <color rgb="FF0070C0"/>
      <name val="Century Gothic"/>
      <family val="2"/>
    </font>
    <font>
      <sz val="12"/>
      <color theme="1"/>
      <name val="Century Gothic"/>
      <family val="2"/>
    </font>
    <font>
      <b/>
      <sz val="12"/>
      <name val="Century Gothic"/>
      <family val="2"/>
    </font>
    <font>
      <b/>
      <sz val="12"/>
      <color rgb="FF0070C0"/>
      <name val="Century Gothic"/>
      <family val="2"/>
    </font>
    <font>
      <sz val="12"/>
      <color rgb="FFFF0000"/>
      <name val="Century Gothic"/>
      <family val="2"/>
    </font>
    <font>
      <b/>
      <i/>
      <sz val="10"/>
      <color rgb="FFFF0000"/>
      <name val="Century Gothic"/>
      <family val="2"/>
    </font>
    <font>
      <sz val="12"/>
      <color rgb="FF0070C0"/>
      <name val="Century Gothic"/>
      <family val="2"/>
    </font>
    <font>
      <b/>
      <i/>
      <sz val="11"/>
      <color theme="1"/>
      <name val="Century Gothic"/>
      <family val="2"/>
    </font>
    <font>
      <sz val="12"/>
      <color theme="1"/>
      <name val="Trebuchet MS"/>
      <family val="2"/>
    </font>
    <font>
      <b/>
      <sz val="11"/>
      <color theme="3"/>
      <name val="Century Gothic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rgb="FFFF0000"/>
      <name val="Trebuchet MS"/>
      <family val="2"/>
    </font>
    <font>
      <b/>
      <sz val="10"/>
      <name val="Microsoft PhagsPa"/>
      <family val="2"/>
    </font>
    <font>
      <sz val="10"/>
      <color theme="1"/>
      <name val="Microsoft PhagsPa"/>
      <family val="2"/>
    </font>
    <font>
      <b/>
      <sz val="10"/>
      <color theme="1"/>
      <name val="Microsoft PhagsPa"/>
      <family val="2"/>
    </font>
    <font>
      <sz val="10"/>
      <name val="Microsoft PhagsPa"/>
      <family val="2"/>
    </font>
    <font>
      <sz val="10"/>
      <name val="Aptos Narrow"/>
      <family val="2"/>
    </font>
    <font>
      <sz val="10"/>
      <color rgb="FFFF0000"/>
      <name val="Microsoft PhagsPa"/>
      <family val="2"/>
    </font>
    <font>
      <sz val="12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E987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0" fontId="39" fillId="0" borderId="0"/>
  </cellStyleXfs>
  <cellXfs count="475">
    <xf numFmtId="0" fontId="0" fillId="0" borderId="0" xfId="0"/>
    <xf numFmtId="0" fontId="2" fillId="3" borderId="7" xfId="0" applyFont="1" applyFill="1" applyBorder="1" applyAlignment="1">
      <alignment horizontal="center" vertical="center" textRotation="90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3" borderId="16" xfId="0" applyFont="1" applyFill="1" applyBorder="1" applyAlignment="1">
      <alignment horizontal="center" vertical="center" textRotation="90"/>
    </xf>
    <xf numFmtId="0" fontId="5" fillId="3" borderId="16" xfId="0" applyFont="1" applyFill="1" applyBorder="1" applyAlignment="1">
      <alignment horizontal="center" vertical="center" textRotation="90"/>
    </xf>
    <xf numFmtId="0" fontId="1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textRotation="90"/>
    </xf>
    <xf numFmtId="49" fontId="5" fillId="3" borderId="17" xfId="0" applyNumberFormat="1" applyFont="1" applyFill="1" applyBorder="1" applyAlignment="1">
      <alignment horizontal="center" vertical="center" textRotation="90" wrapText="1"/>
    </xf>
    <xf numFmtId="0" fontId="4" fillId="3" borderId="17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49" fontId="4" fillId="3" borderId="17" xfId="0" applyNumberFormat="1" applyFont="1" applyFill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49" fontId="7" fillId="6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49" fontId="7" fillId="6" borderId="18" xfId="0" applyNumberFormat="1" applyFont="1" applyFill="1" applyBorder="1" applyAlignment="1">
      <alignment horizontal="center"/>
    </xf>
    <xf numFmtId="0" fontId="7" fillId="6" borderId="18" xfId="0" applyFont="1" applyFill="1" applyBorder="1"/>
    <xf numFmtId="0" fontId="3" fillId="6" borderId="1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7" fillId="6" borderId="8" xfId="0" applyNumberFormat="1" applyFont="1" applyFill="1" applyBorder="1" applyAlignment="1">
      <alignment horizontal="center"/>
    </xf>
    <xf numFmtId="49" fontId="7" fillId="6" borderId="20" xfId="0" applyNumberFormat="1" applyFont="1" applyFill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21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5" xfId="0" applyFont="1" applyFill="1" applyBorder="1"/>
    <xf numFmtId="0" fontId="2" fillId="0" borderId="29" xfId="0" applyFont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6" borderId="30" xfId="0" applyFont="1" applyFill="1" applyBorder="1"/>
    <xf numFmtId="0" fontId="7" fillId="6" borderId="30" xfId="0" applyFont="1" applyFill="1" applyBorder="1" applyAlignment="1">
      <alignment horizontal="center"/>
    </xf>
    <xf numFmtId="0" fontId="7" fillId="6" borderId="31" xfId="0" applyFont="1" applyFill="1" applyBorder="1" applyAlignment="1">
      <alignment horizontal="center"/>
    </xf>
    <xf numFmtId="0" fontId="7" fillId="6" borderId="32" xfId="0" applyFont="1" applyFill="1" applyBorder="1" applyAlignment="1">
      <alignment horizontal="center"/>
    </xf>
    <xf numFmtId="0" fontId="2" fillId="6" borderId="27" xfId="0" applyFont="1" applyFill="1" applyBorder="1" applyAlignment="1">
      <alignment horizontal="center"/>
    </xf>
    <xf numFmtId="0" fontId="7" fillId="6" borderId="22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49" fontId="2" fillId="6" borderId="21" xfId="0" applyNumberFormat="1" applyFont="1" applyFill="1" applyBorder="1" applyAlignment="1">
      <alignment horizontal="center"/>
    </xf>
    <xf numFmtId="49" fontId="2" fillId="6" borderId="9" xfId="0" applyNumberFormat="1" applyFont="1" applyFill="1" applyBorder="1" applyAlignment="1">
      <alignment horizontal="center"/>
    </xf>
    <xf numFmtId="0" fontId="7" fillId="6" borderId="23" xfId="0" applyFont="1" applyFill="1" applyBorder="1" applyAlignment="1">
      <alignment horizontal="center"/>
    </xf>
    <xf numFmtId="49" fontId="7" fillId="6" borderId="9" xfId="0" applyNumberFormat="1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49" fontId="7" fillId="7" borderId="20" xfId="0" applyNumberFormat="1" applyFont="1" applyFill="1" applyBorder="1" applyAlignment="1">
      <alignment horizontal="center"/>
    </xf>
    <xf numFmtId="49" fontId="7" fillId="8" borderId="20" xfId="0" applyNumberFormat="1" applyFont="1" applyFill="1" applyBorder="1" applyAlignment="1">
      <alignment horizontal="center"/>
    </xf>
    <xf numFmtId="49" fontId="7" fillId="9" borderId="20" xfId="0" applyNumberFormat="1" applyFont="1" applyFill="1" applyBorder="1" applyAlignment="1">
      <alignment horizontal="center"/>
    </xf>
    <xf numFmtId="49" fontId="7" fillId="10" borderId="20" xfId="0" applyNumberFormat="1" applyFont="1" applyFill="1" applyBorder="1" applyAlignment="1">
      <alignment horizontal="center"/>
    </xf>
    <xf numFmtId="49" fontId="7" fillId="11" borderId="20" xfId="0" applyNumberFormat="1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 textRotation="90" wrapText="1"/>
    </xf>
    <xf numFmtId="0" fontId="4" fillId="3" borderId="17" xfId="0" applyFont="1" applyFill="1" applyBorder="1" applyAlignment="1">
      <alignment horizontal="center" vertical="center" textRotation="90" wrapText="1"/>
    </xf>
    <xf numFmtId="0" fontId="2" fillId="0" borderId="30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49" fontId="11" fillId="0" borderId="31" xfId="0" applyNumberFormat="1" applyFont="1" applyBorder="1" applyAlignment="1">
      <alignment horizontal="center" vertical="center"/>
    </xf>
    <xf numFmtId="0" fontId="7" fillId="0" borderId="32" xfId="0" applyFont="1" applyBorder="1"/>
    <xf numFmtId="0" fontId="7" fillId="0" borderId="0" xfId="0" applyFont="1"/>
    <xf numFmtId="49" fontId="11" fillId="0" borderId="24" xfId="0" applyNumberFormat="1" applyFont="1" applyBorder="1" applyAlignment="1">
      <alignment horizontal="center" vertical="center"/>
    </xf>
    <xf numFmtId="0" fontId="7" fillId="0" borderId="18" xfId="0" applyFont="1" applyBorder="1"/>
    <xf numFmtId="0" fontId="11" fillId="0" borderId="18" xfId="0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164" fontId="11" fillId="0" borderId="18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4" fillId="0" borderId="24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25" xfId="0" applyFont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 vertical="center" textRotation="90" wrapText="1"/>
    </xf>
    <xf numFmtId="0" fontId="3" fillId="3" borderId="16" xfId="0" applyFont="1" applyFill="1" applyBorder="1" applyAlignment="1">
      <alignment horizontal="center" vertical="center" textRotation="90" wrapText="1"/>
    </xf>
    <xf numFmtId="0" fontId="7" fillId="6" borderId="7" xfId="0" applyFont="1" applyFill="1" applyBorder="1"/>
    <xf numFmtId="0" fontId="4" fillId="4" borderId="16" xfId="0" applyFont="1" applyFill="1" applyBorder="1" applyAlignment="1">
      <alignment horizontal="center" vertical="center" textRotation="90"/>
    </xf>
    <xf numFmtId="0" fontId="5" fillId="4" borderId="16" xfId="0" applyFont="1" applyFill="1" applyBorder="1" applyAlignment="1">
      <alignment horizontal="center" vertical="center" textRotation="90" wrapText="1"/>
    </xf>
    <xf numFmtId="0" fontId="6" fillId="4" borderId="16" xfId="0" applyFont="1" applyFill="1" applyBorder="1" applyAlignment="1">
      <alignment horizontal="center" vertical="center" textRotation="90" wrapText="1"/>
    </xf>
    <xf numFmtId="0" fontId="3" fillId="4" borderId="16" xfId="0" applyFont="1" applyFill="1" applyBorder="1" applyAlignment="1">
      <alignment horizontal="center" vertical="center" textRotation="90" wrapText="1"/>
    </xf>
    <xf numFmtId="0" fontId="4" fillId="4" borderId="16" xfId="0" applyFont="1" applyFill="1" applyBorder="1" applyAlignment="1">
      <alignment horizontal="center" vertical="center" textRotation="90" wrapText="1"/>
    </xf>
    <xf numFmtId="0" fontId="7" fillId="4" borderId="18" xfId="0" applyFont="1" applyFill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0" fontId="7" fillId="10" borderId="22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7" fillId="0" borderId="18" xfId="0" applyNumberFormat="1" applyFont="1" applyBorder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12" borderId="7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0" fontId="7" fillId="12" borderId="21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7" fillId="13" borderId="21" xfId="0" applyFont="1" applyFill="1" applyBorder="1" applyAlignment="1">
      <alignment horizontal="center"/>
    </xf>
    <xf numFmtId="0" fontId="2" fillId="13" borderId="2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 textRotation="90"/>
    </xf>
    <xf numFmtId="0" fontId="4" fillId="3" borderId="35" xfId="0" applyFont="1" applyFill="1" applyBorder="1" applyAlignment="1">
      <alignment horizontal="center" vertical="center" textRotation="90"/>
    </xf>
    <xf numFmtId="0" fontId="4" fillId="4" borderId="36" xfId="0" applyFont="1" applyFill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/>
    </xf>
    <xf numFmtId="0" fontId="7" fillId="6" borderId="25" xfId="0" applyFont="1" applyFill="1" applyBorder="1"/>
    <xf numFmtId="0" fontId="7" fillId="0" borderId="0" xfId="0" applyFont="1" applyAlignment="1">
      <alignment horizontal="center"/>
    </xf>
    <xf numFmtId="0" fontId="7" fillId="0" borderId="25" xfId="0" applyFont="1" applyBorder="1"/>
    <xf numFmtId="0" fontId="2" fillId="0" borderId="3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49" fontId="7" fillId="0" borderId="41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6" borderId="42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6" borderId="36" xfId="0" applyFont="1" applyFill="1" applyBorder="1" applyAlignment="1">
      <alignment horizontal="center"/>
    </xf>
    <xf numFmtId="0" fontId="7" fillId="6" borderId="42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2" fillId="6" borderId="43" xfId="0" applyFont="1" applyFill="1" applyBorder="1" applyAlignment="1">
      <alignment horizontal="center"/>
    </xf>
    <xf numFmtId="0" fontId="7" fillId="6" borderId="35" xfId="0" applyFont="1" applyFill="1" applyBorder="1" applyAlignment="1">
      <alignment horizontal="center"/>
    </xf>
    <xf numFmtId="49" fontId="2" fillId="6" borderId="42" xfId="0" applyNumberFormat="1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49" fontId="7" fillId="6" borderId="16" xfId="0" applyNumberFormat="1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7" fillId="6" borderId="40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7" fillId="14" borderId="22" xfId="0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2" fillId="14" borderId="23" xfId="0" applyFont="1" applyFill="1" applyBorder="1" applyAlignment="1">
      <alignment horizontal="center"/>
    </xf>
    <xf numFmtId="0" fontId="5" fillId="15" borderId="23" xfId="0" applyFont="1" applyFill="1" applyBorder="1" applyAlignment="1">
      <alignment horizontal="center"/>
    </xf>
    <xf numFmtId="0" fontId="5" fillId="15" borderId="25" xfId="0" applyFont="1" applyFill="1" applyBorder="1" applyAlignment="1">
      <alignment horizontal="center"/>
    </xf>
    <xf numFmtId="0" fontId="5" fillId="15" borderId="36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10" borderId="24" xfId="0" applyFont="1" applyFill="1" applyBorder="1" applyAlignment="1">
      <alignment horizontal="center"/>
    </xf>
    <xf numFmtId="0" fontId="7" fillId="10" borderId="18" xfId="0" applyFont="1" applyFill="1" applyBorder="1" applyAlignment="1">
      <alignment horizontal="center"/>
    </xf>
    <xf numFmtId="0" fontId="2" fillId="10" borderId="25" xfId="0" applyFont="1" applyFill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1" fontId="5" fillId="15" borderId="25" xfId="0" applyNumberFormat="1" applyFont="1" applyFill="1" applyBorder="1" applyAlignment="1">
      <alignment horizontal="center"/>
    </xf>
    <xf numFmtId="0" fontId="7" fillId="6" borderId="27" xfId="0" applyFont="1" applyFill="1" applyBorder="1"/>
    <xf numFmtId="0" fontId="16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/>
    </xf>
    <xf numFmtId="49" fontId="1" fillId="3" borderId="17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1" fillId="3" borderId="3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8" fillId="16" borderId="44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19" fillId="15" borderId="18" xfId="0" applyFont="1" applyFill="1" applyBorder="1" applyAlignment="1">
      <alignment horizontal="center" vertical="center" wrapText="1"/>
    </xf>
    <xf numFmtId="0" fontId="19" fillId="15" borderId="18" xfId="0" applyFont="1" applyFill="1" applyBorder="1" applyAlignment="1">
      <alignment vertical="center" wrapText="1"/>
    </xf>
    <xf numFmtId="0" fontId="19" fillId="15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1" fillId="0" borderId="18" xfId="0" applyFont="1" applyBorder="1"/>
    <xf numFmtId="0" fontId="22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/>
    </xf>
    <xf numFmtId="0" fontId="21" fillId="0" borderId="0" xfId="0" applyFont="1"/>
    <xf numFmtId="0" fontId="4" fillId="0" borderId="3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8" xfId="0" applyFont="1" applyBorder="1"/>
    <xf numFmtId="0" fontId="1" fillId="0" borderId="18" xfId="0" applyFont="1" applyBorder="1" applyAlignment="1">
      <alignment horizontal="center" vertical="center"/>
    </xf>
    <xf numFmtId="0" fontId="4" fillId="17" borderId="24" xfId="0" applyFont="1" applyFill="1" applyBorder="1" applyAlignment="1">
      <alignment horizontal="center" vertical="center"/>
    </xf>
    <xf numFmtId="0" fontId="19" fillId="17" borderId="18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vertical="center" wrapText="1"/>
    </xf>
    <xf numFmtId="0" fontId="19" fillId="17" borderId="25" xfId="0" applyFont="1" applyFill="1" applyBorder="1" applyAlignment="1">
      <alignment vertical="center" wrapText="1"/>
    </xf>
    <xf numFmtId="0" fontId="7" fillId="0" borderId="38" xfId="0" applyFont="1" applyBorder="1" applyAlignment="1">
      <alignment horizontal="center"/>
    </xf>
    <xf numFmtId="0" fontId="26" fillId="0" borderId="18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center"/>
    </xf>
    <xf numFmtId="0" fontId="18" fillId="0" borderId="47" xfId="0" applyFont="1" applyBorder="1" applyAlignment="1">
      <alignment horizontal="center" vertical="center"/>
    </xf>
    <xf numFmtId="0" fontId="21" fillId="0" borderId="48" xfId="0" applyFont="1" applyBorder="1"/>
    <xf numFmtId="0" fontId="23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/>
    </xf>
    <xf numFmtId="0" fontId="2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 vertical="center"/>
    </xf>
    <xf numFmtId="0" fontId="7" fillId="0" borderId="43" xfId="0" applyFont="1" applyBorder="1"/>
    <xf numFmtId="0" fontId="2" fillId="0" borderId="43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16" borderId="52" xfId="0" applyFont="1" applyFill="1" applyBorder="1" applyAlignment="1">
      <alignment horizontal="center" vertical="center"/>
    </xf>
    <xf numFmtId="0" fontId="18" fillId="16" borderId="53" xfId="0" applyFont="1" applyFill="1" applyBorder="1" applyAlignment="1">
      <alignment horizontal="center" vertical="center"/>
    </xf>
    <xf numFmtId="0" fontId="18" fillId="16" borderId="54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/>
    </xf>
    <xf numFmtId="0" fontId="4" fillId="0" borderId="35" xfId="0" applyFont="1" applyBorder="1" applyAlignment="1">
      <alignment horizontal="center" vertical="center"/>
    </xf>
    <xf numFmtId="0" fontId="7" fillId="0" borderId="16" xfId="0" applyFont="1" applyBorder="1"/>
    <xf numFmtId="0" fontId="7" fillId="0" borderId="1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4" fillId="2" borderId="58" xfId="0" applyFont="1" applyFill="1" applyBorder="1" applyAlignment="1">
      <alignment horizontal="center" vertical="center"/>
    </xf>
    <xf numFmtId="0" fontId="0" fillId="0" borderId="0" xfId="0"/>
    <xf numFmtId="0" fontId="7" fillId="0" borderId="0" xfId="0" applyFont="1"/>
    <xf numFmtId="0" fontId="7" fillId="0" borderId="18" xfId="0" applyFont="1" applyBorder="1"/>
    <xf numFmtId="0" fontId="4" fillId="0" borderId="2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4" fillId="0" borderId="5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8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7" fillId="0" borderId="16" xfId="0" applyFont="1" applyBorder="1"/>
    <xf numFmtId="0" fontId="2" fillId="0" borderId="1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44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19" fillId="15" borderId="18" xfId="0" applyFont="1" applyFill="1" applyBorder="1" applyAlignment="1">
      <alignment horizontal="center" vertical="center" wrapText="1"/>
    </xf>
    <xf numFmtId="0" fontId="19" fillId="15" borderId="18" xfId="0" applyFont="1" applyFill="1" applyBorder="1" applyAlignment="1">
      <alignment vertical="center" wrapText="1"/>
    </xf>
    <xf numFmtId="0" fontId="19" fillId="15" borderId="20" xfId="0" applyFont="1" applyFill="1" applyBorder="1" applyAlignment="1">
      <alignment vertical="center" wrapText="1"/>
    </xf>
    <xf numFmtId="0" fontId="19" fillId="15" borderId="25" xfId="0" applyFont="1" applyFill="1" applyBorder="1" applyAlignment="1">
      <alignment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7" fillId="15" borderId="18" xfId="0" applyFont="1" applyFill="1" applyBorder="1"/>
    <xf numFmtId="0" fontId="7" fillId="15" borderId="20" xfId="0" applyFont="1" applyFill="1" applyBorder="1"/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19" borderId="18" xfId="0" applyFont="1" applyFill="1" applyBorder="1" applyAlignment="1">
      <alignment horizontal="center" vertical="center"/>
    </xf>
    <xf numFmtId="0" fontId="28" fillId="4" borderId="62" xfId="0" applyFont="1" applyFill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8" fillId="18" borderId="24" xfId="0" applyFont="1" applyFill="1" applyBorder="1" applyAlignment="1">
      <alignment horizontal="center" vertical="center"/>
    </xf>
    <xf numFmtId="0" fontId="28" fillId="18" borderId="25" xfId="0" applyFont="1" applyFill="1" applyBorder="1" applyAlignment="1">
      <alignment horizontal="center" vertical="center"/>
    </xf>
    <xf numFmtId="0" fontId="28" fillId="19" borderId="35" xfId="0" applyFont="1" applyFill="1" applyBorder="1" applyAlignment="1">
      <alignment horizontal="center" vertical="center"/>
    </xf>
    <xf numFmtId="0" fontId="28" fillId="19" borderId="16" xfId="0" applyFont="1" applyFill="1" applyBorder="1" applyAlignment="1">
      <alignment horizontal="center" vertical="center"/>
    </xf>
    <xf numFmtId="0" fontId="28" fillId="19" borderId="36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8" fillId="18" borderId="20" xfId="0" applyFont="1" applyFill="1" applyBorder="1" applyAlignment="1">
      <alignment horizontal="center" vertical="center"/>
    </xf>
    <xf numFmtId="0" fontId="28" fillId="18" borderId="21" xfId="0" applyFont="1" applyFill="1" applyBorder="1" applyAlignment="1">
      <alignment horizontal="center" vertical="center"/>
    </xf>
    <xf numFmtId="0" fontId="28" fillId="18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29" fillId="2" borderId="30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0" fontId="30" fillId="12" borderId="18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33" fillId="2" borderId="18" xfId="0" applyFont="1" applyFill="1" applyBorder="1" applyAlignment="1">
      <alignment horizontal="center" vertical="center"/>
    </xf>
    <xf numFmtId="43" fontId="33" fillId="2" borderId="18" xfId="1" applyFont="1" applyFill="1" applyBorder="1" applyAlignment="1">
      <alignment horizontal="center" vertical="center"/>
    </xf>
    <xf numFmtId="0" fontId="34" fillId="0" borderId="0" xfId="0" applyFont="1"/>
    <xf numFmtId="0" fontId="35" fillId="2" borderId="18" xfId="0" applyFont="1" applyFill="1" applyBorder="1" applyAlignment="1">
      <alignment horizontal="center" vertical="center"/>
    </xf>
    <xf numFmtId="0" fontId="33" fillId="12" borderId="18" xfId="0" applyFont="1" applyFill="1" applyBorder="1" applyAlignment="1">
      <alignment horizontal="center" vertical="center"/>
    </xf>
    <xf numFmtId="43" fontId="33" fillId="12" borderId="18" xfId="1" applyFont="1" applyFill="1" applyBorder="1" applyAlignment="1">
      <alignment horizontal="center" vertical="center"/>
    </xf>
    <xf numFmtId="0" fontId="35" fillId="12" borderId="18" xfId="0" applyFont="1" applyFill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43" fontId="33" fillId="0" borderId="18" xfId="1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8" xfId="1" applyNumberFormat="1" applyFont="1" applyFill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2" fontId="34" fillId="0" borderId="0" xfId="0" applyNumberFormat="1" applyFont="1" applyAlignment="1">
      <alignment horizontal="center" vertical="center"/>
    </xf>
    <xf numFmtId="43" fontId="34" fillId="0" borderId="0" xfId="1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2" fontId="35" fillId="0" borderId="62" xfId="0" applyNumberFormat="1" applyFont="1" applyBorder="1" applyAlignment="1">
      <alignment horizontal="center"/>
    </xf>
    <xf numFmtId="43" fontId="38" fillId="0" borderId="0" xfId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3" fontId="34" fillId="0" borderId="0" xfId="1" applyFont="1" applyFill="1" applyAlignment="1">
      <alignment horizontal="center" vertical="center"/>
    </xf>
    <xf numFmtId="43" fontId="34" fillId="0" borderId="0" xfId="1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0" fontId="4" fillId="12" borderId="20" xfId="0" applyFont="1" applyFill="1" applyBorder="1" applyAlignment="1">
      <alignment horizontal="center" vertical="center"/>
    </xf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5" fillId="0" borderId="52" xfId="0" applyFont="1" applyBorder="1" applyAlignment="1">
      <alignment horizontal="center"/>
    </xf>
    <xf numFmtId="2" fontId="4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2" fontId="4" fillId="0" borderId="4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2" fontId="4" fillId="0" borderId="30" xfId="0" applyNumberFormat="1" applyFont="1" applyBorder="1" applyAlignment="1">
      <alignment horizontal="center" vertical="center"/>
    </xf>
    <xf numFmtId="0" fontId="5" fillId="0" borderId="58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20" borderId="52" xfId="0" applyFont="1" applyFill="1" applyBorder="1" applyAlignment="1">
      <alignment horizontal="center" vertical="center"/>
    </xf>
    <xf numFmtId="0" fontId="4" fillId="20" borderId="53" xfId="0" applyFont="1" applyFill="1" applyBorder="1" applyAlignment="1">
      <alignment horizontal="center" vertical="center"/>
    </xf>
    <xf numFmtId="0" fontId="4" fillId="20" borderId="54" xfId="0" applyFont="1" applyFill="1" applyBorder="1" applyAlignment="1">
      <alignment horizontal="center" vertical="center"/>
    </xf>
    <xf numFmtId="0" fontId="1" fillId="21" borderId="63" xfId="0" applyFont="1" applyFill="1" applyBorder="1" applyAlignment="1">
      <alignment horizontal="center" vertical="center"/>
    </xf>
    <xf numFmtId="0" fontId="4" fillId="21" borderId="18" xfId="0" applyFont="1" applyFill="1" applyBorder="1" applyAlignment="1">
      <alignment horizontal="center" vertical="center"/>
    </xf>
    <xf numFmtId="0" fontId="1" fillId="21" borderId="18" xfId="0" applyFont="1" applyFill="1" applyBorder="1" applyAlignment="1">
      <alignment horizontal="center" vertical="center"/>
    </xf>
    <xf numFmtId="0" fontId="1" fillId="21" borderId="20" xfId="0" applyFont="1" applyFill="1" applyBorder="1" applyAlignment="1">
      <alignment horizontal="center" vertical="center"/>
    </xf>
    <xf numFmtId="0" fontId="4" fillId="21" borderId="2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1" fontId="7" fillId="6" borderId="20" xfId="0" applyNumberFormat="1" applyFont="1" applyFill="1" applyBorder="1" applyAlignment="1">
      <alignment horizontal="center" vertical="center"/>
    </xf>
    <xf numFmtId="1" fontId="5" fillId="6" borderId="20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22" borderId="18" xfId="0" applyFont="1" applyFill="1" applyBorder="1" applyAlignment="1">
      <alignment horizontal="center" vertical="center"/>
    </xf>
    <xf numFmtId="0" fontId="9" fillId="22" borderId="18" xfId="0" applyFont="1" applyFill="1" applyBorder="1" applyAlignment="1">
      <alignment horizontal="center" vertical="center"/>
    </xf>
    <xf numFmtId="0" fontId="9" fillId="22" borderId="20" xfId="0" applyFont="1" applyFill="1" applyBorder="1" applyAlignment="1">
      <alignment horizontal="center" vertical="center"/>
    </xf>
    <xf numFmtId="1" fontId="7" fillId="22" borderId="20" xfId="0" applyNumberFormat="1" applyFont="1" applyFill="1" applyBorder="1" applyAlignment="1">
      <alignment horizontal="center" vertical="center"/>
    </xf>
    <xf numFmtId="1" fontId="6" fillId="22" borderId="20" xfId="0" applyNumberFormat="1" applyFont="1" applyFill="1" applyBorder="1" applyAlignment="1">
      <alignment horizontal="center" vertical="center"/>
    </xf>
    <xf numFmtId="0" fontId="7" fillId="22" borderId="25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6" fillId="0" borderId="41" xfId="0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1" fontId="7" fillId="6" borderId="41" xfId="0" applyNumberFormat="1" applyFont="1" applyFill="1" applyBorder="1" applyAlignment="1">
      <alignment horizontal="center" vertical="center"/>
    </xf>
    <xf numFmtId="1" fontId="5" fillId="6" borderId="41" xfId="0" applyNumberFormat="1" applyFont="1" applyFill="1" applyBorder="1" applyAlignment="1">
      <alignment horizontal="center" vertical="center"/>
    </xf>
    <xf numFmtId="0" fontId="4" fillId="20" borderId="52" xfId="0" applyFont="1" applyFill="1" applyBorder="1" applyAlignment="1">
      <alignment vertical="center"/>
    </xf>
    <xf numFmtId="0" fontId="4" fillId="20" borderId="53" xfId="0" applyFont="1" applyFill="1" applyBorder="1" applyAlignment="1">
      <alignment vertical="center"/>
    </xf>
    <xf numFmtId="0" fontId="4" fillId="20" borderId="54" xfId="0" applyFont="1" applyFill="1" applyBorder="1" applyAlignment="1">
      <alignment vertical="center"/>
    </xf>
    <xf numFmtId="0" fontId="7" fillId="3" borderId="24" xfId="2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1" fontId="6" fillId="6" borderId="4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center" vertical="center"/>
    </xf>
    <xf numFmtId="1" fontId="5" fillId="6" borderId="1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1" fillId="12" borderId="63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1" fillId="12" borderId="47" xfId="0" applyFont="1" applyFill="1" applyBorder="1" applyAlignment="1">
      <alignment horizontal="center" vertical="center"/>
    </xf>
    <xf numFmtId="0" fontId="1" fillId="12" borderId="48" xfId="0" applyFont="1" applyFill="1" applyBorder="1" applyAlignment="1">
      <alignment horizontal="center" vertical="center"/>
    </xf>
    <xf numFmtId="0" fontId="1" fillId="12" borderId="49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E4B0957C-81E1-4BA2-B156-63D3A96552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22</xdr:row>
      <xdr:rowOff>60960</xdr:rowOff>
    </xdr:from>
    <xdr:to>
      <xdr:col>7</xdr:col>
      <xdr:colOff>525780</xdr:colOff>
      <xdr:row>23</xdr:row>
      <xdr:rowOff>480060</xdr:rowOff>
    </xdr:to>
    <xdr:pic>
      <xdr:nvPicPr>
        <xdr:cNvPr id="2" name="Picture 1" descr="Header.png">
          <a:extLst>
            <a:ext uri="{FF2B5EF4-FFF2-40B4-BE49-F238E27FC236}">
              <a16:creationId xmlns:a16="http://schemas.microsoft.com/office/drawing/2014/main" id="{E9888ED7-7CD5-4DEA-AF36-CC3606978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00" y="3924300"/>
          <a:ext cx="6842760" cy="9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44B4-3B5C-486D-A6BB-0500E40B0611}">
  <dimension ref="A1:I26"/>
  <sheetViews>
    <sheetView workbookViewId="0">
      <selection activeCell="N14" sqref="N14"/>
    </sheetView>
  </sheetViews>
  <sheetFormatPr defaultColWidth="8.88671875" defaultRowHeight="13.8" x14ac:dyDescent="0.25"/>
  <cols>
    <col min="1" max="1" width="9.6640625" style="94" bestFit="1" customWidth="1"/>
    <col min="2" max="2" width="8.88671875" style="94"/>
    <col min="3" max="3" width="9.44140625" style="94" customWidth="1"/>
    <col min="4" max="4" width="11" style="94" customWidth="1"/>
    <col min="5" max="5" width="49.6640625" style="94" customWidth="1"/>
    <col min="6" max="6" width="8.88671875" style="94"/>
    <col min="7" max="7" width="7.88671875" style="94" customWidth="1"/>
    <col min="8" max="8" width="8.88671875" style="94"/>
    <col min="9" max="9" width="13.33203125" style="94" customWidth="1"/>
    <col min="10" max="16384" width="8.88671875" style="94"/>
  </cols>
  <sheetData>
    <row r="1" spans="1:9" x14ac:dyDescent="0.25">
      <c r="A1" s="92" t="s">
        <v>92</v>
      </c>
      <c r="B1" s="93"/>
      <c r="C1" s="202"/>
      <c r="D1" s="203"/>
      <c r="E1" s="204"/>
      <c r="F1" s="202"/>
      <c r="G1" s="204"/>
      <c r="H1" s="202"/>
      <c r="I1" s="205"/>
    </row>
    <row r="2" spans="1:9" x14ac:dyDescent="0.25">
      <c r="A2" s="95" t="s">
        <v>93</v>
      </c>
      <c r="B2" s="96"/>
      <c r="C2" s="206"/>
      <c r="D2" s="207"/>
      <c r="E2" s="208"/>
      <c r="F2" s="206"/>
      <c r="G2" s="208"/>
      <c r="H2" s="206"/>
      <c r="I2" s="209"/>
    </row>
    <row r="3" spans="1:9" x14ac:dyDescent="0.25">
      <c r="A3" s="95" t="s">
        <v>94</v>
      </c>
      <c r="B3" s="96"/>
      <c r="C3" s="206"/>
      <c r="D3" s="207"/>
      <c r="E3" s="208"/>
      <c r="F3" s="206"/>
      <c r="G3" s="208"/>
      <c r="H3" s="206"/>
      <c r="I3" s="209"/>
    </row>
    <row r="4" spans="1:9" x14ac:dyDescent="0.25">
      <c r="A4" s="95" t="s">
        <v>95</v>
      </c>
      <c r="B4" s="96"/>
      <c r="C4" s="206"/>
      <c r="D4" s="207"/>
      <c r="E4" s="208"/>
      <c r="F4" s="206"/>
      <c r="G4" s="208"/>
      <c r="H4" s="206"/>
      <c r="I4" s="209"/>
    </row>
    <row r="5" spans="1:9" x14ac:dyDescent="0.25">
      <c r="A5" s="95" t="s">
        <v>96</v>
      </c>
      <c r="B5" s="96"/>
      <c r="C5" s="206"/>
      <c r="D5" s="207"/>
      <c r="E5" s="208"/>
      <c r="F5" s="206"/>
      <c r="G5" s="208"/>
      <c r="H5" s="206"/>
      <c r="I5" s="209"/>
    </row>
    <row r="6" spans="1:9" x14ac:dyDescent="0.25">
      <c r="A6" s="95" t="s">
        <v>97</v>
      </c>
      <c r="B6" s="96"/>
      <c r="C6" s="206"/>
      <c r="D6" s="207"/>
      <c r="E6" s="208"/>
      <c r="F6" s="206"/>
      <c r="G6" s="208"/>
      <c r="H6" s="206"/>
      <c r="I6" s="209"/>
    </row>
    <row r="7" spans="1:9" x14ac:dyDescent="0.25">
      <c r="A7" s="95" t="s">
        <v>98</v>
      </c>
      <c r="B7" s="96"/>
      <c r="C7" s="206"/>
      <c r="D7" s="207"/>
      <c r="E7" s="208"/>
      <c r="F7" s="206"/>
      <c r="G7" s="208"/>
      <c r="H7" s="206"/>
      <c r="I7" s="209"/>
    </row>
    <row r="8" spans="1:9" x14ac:dyDescent="0.25">
      <c r="A8" s="95" t="s">
        <v>99</v>
      </c>
      <c r="B8" s="97"/>
      <c r="C8" s="210"/>
      <c r="D8" s="210"/>
      <c r="E8" s="210"/>
      <c r="F8" s="210"/>
      <c r="G8" s="210"/>
      <c r="H8" s="210"/>
      <c r="I8" s="211"/>
    </row>
    <row r="9" spans="1:9" x14ac:dyDescent="0.25">
      <c r="A9" s="95" t="s">
        <v>100</v>
      </c>
      <c r="B9" s="97"/>
      <c r="C9" s="210"/>
      <c r="D9" s="210"/>
      <c r="E9" s="210"/>
      <c r="F9" s="210"/>
      <c r="G9" s="210"/>
      <c r="H9" s="210"/>
      <c r="I9" s="211"/>
    </row>
    <row r="10" spans="1:9" x14ac:dyDescent="0.25">
      <c r="A10" s="95" t="s">
        <v>101</v>
      </c>
      <c r="B10" s="97"/>
      <c r="C10" s="210"/>
      <c r="D10" s="210"/>
      <c r="E10" s="210"/>
      <c r="F10" s="210"/>
      <c r="G10" s="210"/>
      <c r="H10" s="210"/>
      <c r="I10" s="211"/>
    </row>
    <row r="11" spans="1:9" x14ac:dyDescent="0.25">
      <c r="A11" s="95" t="s">
        <v>102</v>
      </c>
      <c r="B11" s="97"/>
      <c r="C11" s="210"/>
      <c r="D11" s="210"/>
      <c r="E11" s="210"/>
      <c r="F11" s="210"/>
      <c r="G11" s="210"/>
      <c r="H11" s="210"/>
      <c r="I11" s="211"/>
    </row>
    <row r="12" spans="1:9" x14ac:dyDescent="0.25">
      <c r="A12" s="95" t="s">
        <v>103</v>
      </c>
      <c r="B12" s="97"/>
      <c r="C12" s="210"/>
      <c r="D12" s="210"/>
      <c r="E12" s="210"/>
      <c r="F12" s="210"/>
      <c r="G12" s="210"/>
      <c r="H12" s="210"/>
      <c r="I12" s="211"/>
    </row>
    <row r="13" spans="1:9" x14ac:dyDescent="0.25">
      <c r="A13" s="95" t="s">
        <v>104</v>
      </c>
      <c r="B13" s="97"/>
      <c r="C13" s="210"/>
      <c r="D13" s="210"/>
      <c r="E13" s="210"/>
      <c r="F13" s="210"/>
      <c r="G13" s="210"/>
      <c r="H13" s="210"/>
      <c r="I13" s="211"/>
    </row>
    <row r="14" spans="1:9" x14ac:dyDescent="0.25">
      <c r="A14" s="95" t="s">
        <v>105</v>
      </c>
      <c r="B14" s="98"/>
      <c r="C14" s="210"/>
      <c r="D14" s="210"/>
      <c r="E14" s="210"/>
      <c r="F14" s="210"/>
      <c r="G14" s="210"/>
      <c r="H14" s="210"/>
      <c r="I14" s="211"/>
    </row>
    <row r="15" spans="1:9" x14ac:dyDescent="0.25">
      <c r="A15" s="95" t="s">
        <v>106</v>
      </c>
      <c r="B15" s="98"/>
      <c r="C15" s="210"/>
      <c r="D15" s="210"/>
      <c r="E15" s="210"/>
      <c r="F15" s="210"/>
      <c r="G15" s="210"/>
      <c r="H15" s="210"/>
      <c r="I15" s="211"/>
    </row>
    <row r="16" spans="1:9" x14ac:dyDescent="0.25">
      <c r="A16" s="95" t="s">
        <v>107</v>
      </c>
      <c r="B16" s="98"/>
      <c r="C16" s="210"/>
      <c r="D16" s="210"/>
      <c r="E16" s="210"/>
      <c r="F16" s="210"/>
      <c r="G16" s="210"/>
      <c r="H16" s="210"/>
      <c r="I16" s="211"/>
    </row>
    <row r="17" spans="1:9" x14ac:dyDescent="0.25">
      <c r="A17" s="95" t="s">
        <v>108</v>
      </c>
      <c r="B17" s="98"/>
      <c r="C17" s="210"/>
      <c r="D17" s="210"/>
      <c r="E17" s="210"/>
      <c r="F17" s="210"/>
      <c r="G17" s="210"/>
      <c r="H17" s="210"/>
      <c r="I17" s="211"/>
    </row>
    <row r="18" spans="1:9" x14ac:dyDescent="0.25">
      <c r="A18" s="95" t="s">
        <v>109</v>
      </c>
      <c r="B18" s="98"/>
      <c r="C18" s="210"/>
      <c r="D18" s="210"/>
      <c r="E18" s="210"/>
      <c r="F18" s="210"/>
      <c r="G18" s="210"/>
      <c r="H18" s="210"/>
      <c r="I18" s="211"/>
    </row>
    <row r="19" spans="1:9" x14ac:dyDescent="0.25">
      <c r="A19" s="95" t="s">
        <v>110</v>
      </c>
      <c r="B19" s="99"/>
      <c r="C19" s="210"/>
      <c r="D19" s="210"/>
      <c r="E19" s="210"/>
      <c r="F19" s="210"/>
      <c r="G19" s="210"/>
      <c r="H19" s="210"/>
      <c r="I19" s="211"/>
    </row>
    <row r="20" spans="1:9" x14ac:dyDescent="0.25">
      <c r="A20" s="95" t="s">
        <v>111</v>
      </c>
      <c r="B20" s="99"/>
      <c r="C20" s="210"/>
      <c r="D20" s="210"/>
      <c r="E20" s="210"/>
      <c r="F20" s="210"/>
      <c r="G20" s="210"/>
      <c r="H20" s="210"/>
      <c r="I20" s="211"/>
    </row>
    <row r="21" spans="1:9" x14ac:dyDescent="0.25">
      <c r="A21" s="95" t="s">
        <v>112</v>
      </c>
      <c r="B21" s="99">
        <v>46277</v>
      </c>
      <c r="C21" s="210" t="s">
        <v>113</v>
      </c>
      <c r="D21" s="210"/>
      <c r="E21" s="210"/>
      <c r="F21" s="210" t="s">
        <v>126</v>
      </c>
      <c r="G21" s="210"/>
      <c r="H21" s="210" t="s">
        <v>114</v>
      </c>
      <c r="I21" s="211"/>
    </row>
    <row r="22" spans="1:9" ht="14.4" thickBot="1" x14ac:dyDescent="0.3">
      <c r="A22" s="100" t="s">
        <v>115</v>
      </c>
      <c r="B22" s="101" t="s">
        <v>116</v>
      </c>
      <c r="C22" s="219" t="s">
        <v>117</v>
      </c>
      <c r="D22" s="219"/>
      <c r="E22" s="219"/>
      <c r="F22" s="219" t="s">
        <v>118</v>
      </c>
      <c r="G22" s="219"/>
      <c r="H22" s="219" t="s">
        <v>119</v>
      </c>
      <c r="I22" s="220"/>
    </row>
    <row r="23" spans="1:9" ht="40.049999999999997" customHeight="1" x14ac:dyDescent="0.25">
      <c r="A23" s="212"/>
      <c r="B23" s="213"/>
      <c r="C23" s="213"/>
      <c r="D23" s="213"/>
      <c r="E23" s="213"/>
      <c r="F23" s="213"/>
      <c r="G23" s="213"/>
      <c r="H23" s="213"/>
      <c r="I23" s="214"/>
    </row>
    <row r="24" spans="1:9" ht="40.049999999999997" customHeight="1" x14ac:dyDescent="0.25">
      <c r="A24" s="212"/>
      <c r="B24" s="213"/>
      <c r="C24" s="213"/>
      <c r="D24" s="213"/>
      <c r="E24" s="213"/>
      <c r="F24" s="213"/>
      <c r="G24" s="213"/>
      <c r="H24" s="213"/>
      <c r="I24" s="214"/>
    </row>
    <row r="25" spans="1:9" x14ac:dyDescent="0.25">
      <c r="A25" s="102" t="s">
        <v>120</v>
      </c>
      <c r="B25" s="103" t="s">
        <v>121</v>
      </c>
      <c r="C25" s="215" t="s">
        <v>122</v>
      </c>
      <c r="D25" s="216"/>
      <c r="E25" s="216"/>
      <c r="F25" s="216"/>
      <c r="G25" s="216"/>
      <c r="H25" s="217"/>
      <c r="I25" s="104" t="s">
        <v>123</v>
      </c>
    </row>
    <row r="26" spans="1:9" ht="14.4" thickBot="1" x14ac:dyDescent="0.3">
      <c r="A26" s="105"/>
      <c r="B26" s="106">
        <v>33</v>
      </c>
      <c r="C26" s="218" t="s">
        <v>125</v>
      </c>
      <c r="D26" s="218"/>
      <c r="E26" s="218"/>
      <c r="F26" s="218"/>
      <c r="G26" s="218"/>
      <c r="H26" s="218"/>
      <c r="I26" s="193">
        <v>0</v>
      </c>
    </row>
  </sheetData>
  <mergeCells count="69">
    <mergeCell ref="A23:I24"/>
    <mergeCell ref="C25:H25"/>
    <mergeCell ref="C26:H26"/>
    <mergeCell ref="C21:E21"/>
    <mergeCell ref="F21:G21"/>
    <mergeCell ref="H21:I21"/>
    <mergeCell ref="C22:E22"/>
    <mergeCell ref="F22:G22"/>
    <mergeCell ref="H22:I22"/>
    <mergeCell ref="C19:E19"/>
    <mergeCell ref="F19:G19"/>
    <mergeCell ref="H19:I19"/>
    <mergeCell ref="C20:E20"/>
    <mergeCell ref="F20:G20"/>
    <mergeCell ref="H20:I20"/>
    <mergeCell ref="C17:E17"/>
    <mergeCell ref="F17:G17"/>
    <mergeCell ref="H17:I17"/>
    <mergeCell ref="C18:E18"/>
    <mergeCell ref="F18:G18"/>
    <mergeCell ref="H18:I18"/>
    <mergeCell ref="C15:E15"/>
    <mergeCell ref="F15:G15"/>
    <mergeCell ref="H15:I15"/>
    <mergeCell ref="C16:E16"/>
    <mergeCell ref="F16:G16"/>
    <mergeCell ref="H16:I16"/>
    <mergeCell ref="C13:E13"/>
    <mergeCell ref="F13:G13"/>
    <mergeCell ref="H13:I13"/>
    <mergeCell ref="C14:E14"/>
    <mergeCell ref="F14:G14"/>
    <mergeCell ref="H14:I14"/>
    <mergeCell ref="C11:E11"/>
    <mergeCell ref="F11:G11"/>
    <mergeCell ref="H11:I11"/>
    <mergeCell ref="C12:E12"/>
    <mergeCell ref="F12:G12"/>
    <mergeCell ref="H12:I12"/>
    <mergeCell ref="C9:E9"/>
    <mergeCell ref="F9:G9"/>
    <mergeCell ref="H9:I9"/>
    <mergeCell ref="C10:E10"/>
    <mergeCell ref="F10:G10"/>
    <mergeCell ref="H10:I10"/>
    <mergeCell ref="C7:E7"/>
    <mergeCell ref="F7:G7"/>
    <mergeCell ref="H7:I7"/>
    <mergeCell ref="C8:E8"/>
    <mergeCell ref="F8:G8"/>
    <mergeCell ref="H8:I8"/>
    <mergeCell ref="C5:E5"/>
    <mergeCell ref="F5:G5"/>
    <mergeCell ref="H5:I5"/>
    <mergeCell ref="C6:E6"/>
    <mergeCell ref="F6:G6"/>
    <mergeCell ref="H6:I6"/>
    <mergeCell ref="C3:E3"/>
    <mergeCell ref="F3:G3"/>
    <mergeCell ref="H3:I3"/>
    <mergeCell ref="C4:E4"/>
    <mergeCell ref="F4:G4"/>
    <mergeCell ref="H4:I4"/>
    <mergeCell ref="C1:E1"/>
    <mergeCell ref="F1:G1"/>
    <mergeCell ref="H1:I1"/>
    <mergeCell ref="C2:E2"/>
    <mergeCell ref="F2:G2"/>
    <mergeCell ref="H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DAB5-0F11-4384-BAC4-E27A150ADFE2}">
  <dimension ref="A1:BM80"/>
  <sheetViews>
    <sheetView zoomScale="80" zoomScaleNormal="80" workbookViewId="0">
      <pane ySplit="4" topLeftCell="A5" activePane="bottomLeft" state="frozen"/>
      <selection pane="bottomLeft" activeCell="AD18" sqref="AD18"/>
    </sheetView>
  </sheetViews>
  <sheetFormatPr defaultRowHeight="14.4" x14ac:dyDescent="0.3"/>
  <cols>
    <col min="1" max="1" width="3.44140625" bestFit="1" customWidth="1"/>
    <col min="2" max="2" width="9.109375" customWidth="1"/>
    <col min="3" max="4" width="18.44140625" bestFit="1" customWidth="1"/>
    <col min="5" max="5" width="9.77734375" customWidth="1"/>
    <col min="6" max="6" width="5.77734375" customWidth="1"/>
    <col min="7" max="7" width="6.33203125" bestFit="1" customWidth="1"/>
    <col min="8" max="9" width="6" bestFit="1" customWidth="1"/>
    <col min="10" max="10" width="4.33203125" bestFit="1" customWidth="1"/>
    <col min="11" max="11" width="3.77734375" bestFit="1" customWidth="1"/>
    <col min="12" max="12" width="10.6640625" bestFit="1" customWidth="1"/>
    <col min="13" max="13" width="5.77734375" customWidth="1"/>
    <col min="15" max="15" width="7.6640625" customWidth="1"/>
    <col min="16" max="16" width="3.44140625" bestFit="1" customWidth="1"/>
    <col min="17" max="17" width="5.88671875" bestFit="1" customWidth="1"/>
    <col min="19" max="19" width="6.33203125" bestFit="1" customWidth="1"/>
    <col min="20" max="20" width="5.77734375" customWidth="1"/>
    <col min="23" max="33" width="6.77734375" customWidth="1"/>
    <col min="34" max="34" width="8.88671875" bestFit="1" customWidth="1"/>
    <col min="35" max="41" width="6.77734375" customWidth="1"/>
    <col min="42" max="44" width="5.77734375" customWidth="1"/>
    <col min="45" max="45" width="7.5546875" bestFit="1" customWidth="1"/>
    <col min="46" max="47" width="5.77734375" customWidth="1"/>
    <col min="48" max="48" width="8.88671875" bestFit="1" customWidth="1"/>
    <col min="49" max="49" width="6.44140625" bestFit="1" customWidth="1"/>
    <col min="50" max="50" width="5.77734375" customWidth="1"/>
    <col min="51" max="51" width="8.21875" bestFit="1" customWidth="1"/>
    <col min="52" max="53" width="5.77734375" customWidth="1"/>
    <col min="54" max="54" width="23.33203125" bestFit="1" customWidth="1"/>
    <col min="57" max="58" width="6.77734375" customWidth="1"/>
    <col min="60" max="60" width="4.77734375" customWidth="1"/>
    <col min="61" max="61" width="8.77734375" customWidth="1"/>
  </cols>
  <sheetData>
    <row r="1" spans="1:65" x14ac:dyDescent="0.3">
      <c r="A1" s="82" t="s">
        <v>81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4"/>
    </row>
    <row r="2" spans="1:65" ht="15" thickBot="1" x14ac:dyDescent="0.3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7"/>
    </row>
    <row r="3" spans="1:65" x14ac:dyDescent="0.3">
      <c r="A3" s="145"/>
      <c r="B3" s="1"/>
      <c r="C3" s="194" t="s">
        <v>0</v>
      </c>
      <c r="D3" s="195"/>
      <c r="E3" s="196" t="s">
        <v>1</v>
      </c>
      <c r="F3" s="2" t="s">
        <v>2</v>
      </c>
      <c r="G3" s="3"/>
      <c r="H3" s="3"/>
      <c r="I3" s="3"/>
      <c r="J3" s="88"/>
      <c r="K3" s="2" t="s">
        <v>3</v>
      </c>
      <c r="L3" s="3"/>
      <c r="M3" s="3"/>
      <c r="N3" s="3"/>
      <c r="O3" s="88"/>
      <c r="P3" s="2" t="s">
        <v>4</v>
      </c>
      <c r="Q3" s="3"/>
      <c r="R3" s="3"/>
      <c r="S3" s="88"/>
      <c r="T3" s="2" t="s">
        <v>5</v>
      </c>
      <c r="U3" s="3"/>
      <c r="V3" s="88"/>
      <c r="W3" s="3"/>
      <c r="X3" s="2" t="s">
        <v>6</v>
      </c>
      <c r="Y3" s="3"/>
      <c r="Z3" s="88"/>
      <c r="AA3" s="2" t="s">
        <v>7</v>
      </c>
      <c r="AB3" s="3"/>
      <c r="AC3" s="88"/>
      <c r="AD3" s="2" t="s">
        <v>8</v>
      </c>
      <c r="AE3" s="3"/>
      <c r="AF3" s="88"/>
      <c r="AG3" s="89" t="s">
        <v>9</v>
      </c>
      <c r="AH3" s="90"/>
      <c r="AI3" s="91"/>
      <c r="AJ3" s="89" t="s">
        <v>10</v>
      </c>
      <c r="AK3" s="90"/>
      <c r="AL3" s="91"/>
      <c r="AM3" s="89" t="s">
        <v>11</v>
      </c>
      <c r="AN3" s="90"/>
      <c r="AO3" s="91"/>
      <c r="AP3" s="89" t="s">
        <v>12</v>
      </c>
      <c r="AQ3" s="90"/>
      <c r="AR3" s="91"/>
      <c r="AS3" s="89" t="s">
        <v>13</v>
      </c>
      <c r="AT3" s="90"/>
      <c r="AU3" s="91"/>
      <c r="AV3" s="89" t="s">
        <v>14</v>
      </c>
      <c r="AW3" s="90"/>
      <c r="AX3" s="91"/>
      <c r="AY3" s="89" t="s">
        <v>15</v>
      </c>
      <c r="AZ3" s="90"/>
      <c r="BA3" s="91"/>
      <c r="BB3" s="198" t="s">
        <v>16</v>
      </c>
      <c r="BC3" s="200" t="s">
        <v>17</v>
      </c>
      <c r="BD3" s="5" t="s">
        <v>18</v>
      </c>
      <c r="BE3" s="2" t="s">
        <v>2</v>
      </c>
      <c r="BF3" s="6"/>
      <c r="BG3" s="3"/>
      <c r="BH3" s="4"/>
      <c r="BI3" s="6"/>
      <c r="BJ3" s="6"/>
      <c r="BK3" s="6"/>
      <c r="BL3" s="6"/>
      <c r="BM3" s="7"/>
    </row>
    <row r="4" spans="1:65" ht="74.400000000000006" thickBot="1" x14ac:dyDescent="0.35">
      <c r="A4" s="146" t="s">
        <v>19</v>
      </c>
      <c r="B4" s="9" t="s">
        <v>20</v>
      </c>
      <c r="C4" s="10" t="s">
        <v>21</v>
      </c>
      <c r="D4" s="10" t="s">
        <v>22</v>
      </c>
      <c r="E4" s="197"/>
      <c r="F4" s="9" t="s">
        <v>23</v>
      </c>
      <c r="G4" s="11" t="s">
        <v>24</v>
      </c>
      <c r="H4" s="109" t="s">
        <v>25</v>
      </c>
      <c r="I4" s="110" t="s">
        <v>26</v>
      </c>
      <c r="J4" s="9" t="s">
        <v>27</v>
      </c>
      <c r="K4" s="9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9" t="s">
        <v>28</v>
      </c>
      <c r="Q4" s="11" t="s">
        <v>29</v>
      </c>
      <c r="R4" s="11" t="s">
        <v>30</v>
      </c>
      <c r="S4" s="11" t="s">
        <v>24</v>
      </c>
      <c r="T4" s="8" t="s">
        <v>23</v>
      </c>
      <c r="U4" s="11" t="s">
        <v>24</v>
      </c>
      <c r="V4" s="9" t="s">
        <v>33</v>
      </c>
      <c r="W4" s="9" t="s">
        <v>83</v>
      </c>
      <c r="X4" s="8" t="s">
        <v>23</v>
      </c>
      <c r="Y4" s="11" t="s">
        <v>24</v>
      </c>
      <c r="Z4" s="9" t="s">
        <v>33</v>
      </c>
      <c r="AA4" s="8" t="s">
        <v>23</v>
      </c>
      <c r="AB4" s="11" t="s">
        <v>24</v>
      </c>
      <c r="AC4" s="9" t="s">
        <v>33</v>
      </c>
      <c r="AD4" s="8" t="s">
        <v>23</v>
      </c>
      <c r="AE4" s="8" t="s">
        <v>24</v>
      </c>
      <c r="AF4" s="9" t="s">
        <v>33</v>
      </c>
      <c r="AG4" s="12" t="s">
        <v>29</v>
      </c>
      <c r="AH4" s="80" t="s">
        <v>88</v>
      </c>
      <c r="AI4" s="13" t="s">
        <v>33</v>
      </c>
      <c r="AJ4" s="12" t="s">
        <v>29</v>
      </c>
      <c r="AK4" s="14" t="s">
        <v>23</v>
      </c>
      <c r="AL4" s="13" t="s">
        <v>33</v>
      </c>
      <c r="AM4" s="12" t="s">
        <v>29</v>
      </c>
      <c r="AN4" s="14" t="s">
        <v>23</v>
      </c>
      <c r="AO4" s="13" t="s">
        <v>33</v>
      </c>
      <c r="AP4" s="15" t="s">
        <v>29</v>
      </c>
      <c r="AQ4" s="13" t="s">
        <v>23</v>
      </c>
      <c r="AR4" s="14" t="s">
        <v>33</v>
      </c>
      <c r="AS4" s="15" t="s">
        <v>29</v>
      </c>
      <c r="AT4" s="13" t="s">
        <v>23</v>
      </c>
      <c r="AU4" s="14" t="s">
        <v>33</v>
      </c>
      <c r="AV4" s="14" t="s">
        <v>23</v>
      </c>
      <c r="AW4" s="8" t="s">
        <v>24</v>
      </c>
      <c r="AX4" s="13" t="s">
        <v>33</v>
      </c>
      <c r="AY4" s="79" t="s">
        <v>86</v>
      </c>
      <c r="AZ4" s="8" t="s">
        <v>24</v>
      </c>
      <c r="BA4" s="13" t="s">
        <v>33</v>
      </c>
      <c r="BB4" s="199"/>
      <c r="BC4" s="201"/>
      <c r="BD4" s="112" t="s">
        <v>34</v>
      </c>
      <c r="BE4" s="9" t="s">
        <v>23</v>
      </c>
      <c r="BF4" s="113" t="s">
        <v>35</v>
      </c>
      <c r="BG4" s="114" t="s">
        <v>36</v>
      </c>
      <c r="BH4" s="115"/>
      <c r="BI4" s="112" t="s">
        <v>37</v>
      </c>
      <c r="BJ4" s="116" t="s">
        <v>38</v>
      </c>
      <c r="BK4" s="116" t="s">
        <v>39</v>
      </c>
      <c r="BL4" s="116" t="s">
        <v>40</v>
      </c>
      <c r="BM4" s="147" t="s">
        <v>41</v>
      </c>
    </row>
    <row r="5" spans="1:65" x14ac:dyDescent="0.3">
      <c r="A5" s="148"/>
      <c r="B5" s="17"/>
      <c r="C5" s="18"/>
      <c r="D5" s="18"/>
      <c r="E5" s="36"/>
      <c r="F5" s="41"/>
      <c r="G5" s="18"/>
      <c r="H5" s="108"/>
      <c r="I5" s="22"/>
      <c r="J5" s="179"/>
      <c r="K5" s="39"/>
      <c r="L5" s="18"/>
      <c r="M5" s="18"/>
      <c r="N5" s="18"/>
      <c r="O5" s="44"/>
      <c r="P5" s="39"/>
      <c r="Q5" s="18"/>
      <c r="R5" s="18"/>
      <c r="S5" s="44"/>
      <c r="T5" s="46"/>
      <c r="U5" s="23"/>
      <c r="V5" s="49"/>
      <c r="W5" s="53"/>
      <c r="X5" s="58"/>
      <c r="Y5" s="59"/>
      <c r="Z5" s="60"/>
      <c r="AA5" s="58"/>
      <c r="AB5" s="59"/>
      <c r="AC5" s="60"/>
      <c r="AD5" s="47"/>
      <c r="AE5" s="18"/>
      <c r="AF5" s="60"/>
      <c r="AG5" s="39"/>
      <c r="AH5" s="18"/>
      <c r="AI5" s="44"/>
      <c r="AJ5" s="65"/>
      <c r="AK5" s="20"/>
      <c r="AL5" s="44"/>
      <c r="AM5" s="65"/>
      <c r="AN5" s="20"/>
      <c r="AO5" s="44"/>
      <c r="AP5" s="67"/>
      <c r="AQ5" s="18"/>
      <c r="AR5" s="60"/>
      <c r="AS5" s="39"/>
      <c r="AT5" s="18"/>
      <c r="AU5" s="60"/>
      <c r="AV5" s="65"/>
      <c r="AW5" s="19"/>
      <c r="AX5" s="44"/>
      <c r="AY5" s="65"/>
      <c r="AZ5" s="19"/>
      <c r="BA5" s="44"/>
      <c r="BB5" s="68"/>
      <c r="BC5" s="77"/>
      <c r="BD5" s="39"/>
      <c r="BE5" s="20"/>
      <c r="BF5" s="20"/>
      <c r="BG5" s="108"/>
      <c r="BH5" s="22"/>
      <c r="BI5" s="111"/>
      <c r="BJ5" s="111"/>
      <c r="BK5" s="111"/>
      <c r="BL5" s="111"/>
      <c r="BM5" s="192"/>
    </row>
    <row r="6" spans="1:65" x14ac:dyDescent="0.3">
      <c r="A6" s="148">
        <v>1</v>
      </c>
      <c r="B6" s="28">
        <v>1001</v>
      </c>
      <c r="C6" s="25" t="s">
        <v>42</v>
      </c>
      <c r="D6" s="25" t="s">
        <v>43</v>
      </c>
      <c r="E6" s="71" t="s">
        <v>68</v>
      </c>
      <c r="F6" s="42">
        <v>50</v>
      </c>
      <c r="G6" s="31" t="s">
        <v>44</v>
      </c>
      <c r="H6" s="26"/>
      <c r="I6" s="27"/>
      <c r="J6" s="179">
        <v>6</v>
      </c>
      <c r="K6" s="40" t="s">
        <v>46</v>
      </c>
      <c r="L6" s="31" t="s">
        <v>47</v>
      </c>
      <c r="M6" s="31">
        <v>50</v>
      </c>
      <c r="N6" s="31" t="s">
        <v>44</v>
      </c>
      <c r="O6" s="45" t="s">
        <v>44</v>
      </c>
      <c r="P6" s="40" t="s">
        <v>51</v>
      </c>
      <c r="Q6" s="31" t="s">
        <v>52</v>
      </c>
      <c r="R6" s="31" t="s">
        <v>75</v>
      </c>
      <c r="S6" s="45" t="s">
        <v>44</v>
      </c>
      <c r="T6" s="121">
        <v>65</v>
      </c>
      <c r="U6" s="118" t="s">
        <v>44</v>
      </c>
      <c r="V6" s="122">
        <v>1</v>
      </c>
      <c r="W6" s="54">
        <v>1</v>
      </c>
      <c r="X6" s="176">
        <v>50</v>
      </c>
      <c r="Y6" s="177" t="s">
        <v>44</v>
      </c>
      <c r="Z6" s="178">
        <v>3</v>
      </c>
      <c r="AA6" s="61"/>
      <c r="AB6" s="18"/>
      <c r="AC6" s="50"/>
      <c r="AD6" s="47"/>
      <c r="AE6" s="18"/>
      <c r="AF6" s="50"/>
      <c r="AG6" s="63"/>
      <c r="AH6" s="18"/>
      <c r="AI6" s="66"/>
      <c r="AJ6" s="65"/>
      <c r="AK6" s="20"/>
      <c r="AL6" s="66"/>
      <c r="AM6" s="65"/>
      <c r="AN6" s="20"/>
      <c r="AO6" s="66"/>
      <c r="AP6" s="63"/>
      <c r="AQ6" s="28"/>
      <c r="AR6" s="50"/>
      <c r="AS6" s="39"/>
      <c r="AT6" s="18"/>
      <c r="AU6" s="50"/>
      <c r="AV6" s="65"/>
      <c r="AW6" s="19"/>
      <c r="AX6" s="66"/>
      <c r="AY6" s="65"/>
      <c r="AZ6" s="19"/>
      <c r="BA6" s="66"/>
      <c r="BB6" s="69"/>
      <c r="BC6" s="77"/>
      <c r="BD6" s="48"/>
      <c r="BE6" s="28"/>
      <c r="BF6" s="28"/>
      <c r="BG6" s="26"/>
      <c r="BH6" s="29"/>
      <c r="BI6" s="25"/>
      <c r="BJ6" s="25"/>
      <c r="BK6" s="25"/>
      <c r="BL6" s="25"/>
      <c r="BM6" s="126"/>
    </row>
    <row r="7" spans="1:65" x14ac:dyDescent="0.3">
      <c r="A7" s="148"/>
      <c r="B7" s="16"/>
      <c r="C7" s="23"/>
      <c r="D7" s="25"/>
      <c r="E7" s="37" t="s">
        <v>68</v>
      </c>
      <c r="F7" s="42"/>
      <c r="G7" s="31"/>
      <c r="H7" s="26"/>
      <c r="I7" s="29"/>
      <c r="J7" s="180"/>
      <c r="K7" s="40"/>
      <c r="L7" s="31"/>
      <c r="M7" s="31"/>
      <c r="N7" s="31"/>
      <c r="O7" s="45"/>
      <c r="P7" s="40"/>
      <c r="Q7" s="31"/>
      <c r="R7" s="31"/>
      <c r="S7" s="45"/>
      <c r="T7" s="182">
        <v>50</v>
      </c>
      <c r="U7" s="183" t="s">
        <v>44</v>
      </c>
      <c r="V7" s="184">
        <v>1</v>
      </c>
      <c r="W7" s="53">
        <v>1</v>
      </c>
      <c r="X7" s="61"/>
      <c r="Y7" s="18"/>
      <c r="Z7" s="50"/>
      <c r="AA7" s="61"/>
      <c r="AB7" s="18"/>
      <c r="AC7" s="50"/>
      <c r="AD7" s="47"/>
      <c r="AE7" s="18"/>
      <c r="AF7" s="50"/>
      <c r="AG7" s="63"/>
      <c r="AH7" s="18"/>
      <c r="AI7" s="66"/>
      <c r="AJ7" s="65"/>
      <c r="AK7" s="20"/>
      <c r="AL7" s="66"/>
      <c r="AM7" s="65"/>
      <c r="AN7" s="20"/>
      <c r="AO7" s="66"/>
      <c r="AP7" s="63"/>
      <c r="AQ7" s="28"/>
      <c r="AR7" s="50"/>
      <c r="AS7" s="39"/>
      <c r="AT7" s="18"/>
      <c r="AU7" s="50"/>
      <c r="AV7" s="65"/>
      <c r="AW7" s="19"/>
      <c r="AX7" s="66"/>
      <c r="AY7" s="65"/>
      <c r="AZ7" s="19"/>
      <c r="BA7" s="66"/>
      <c r="BB7" s="69"/>
      <c r="BC7" s="77"/>
      <c r="BD7" s="40"/>
      <c r="BE7" s="24"/>
      <c r="BF7" s="24"/>
      <c r="BG7" s="21"/>
      <c r="BH7" s="34"/>
      <c r="BI7" s="33"/>
      <c r="BJ7" s="33"/>
      <c r="BK7" s="33"/>
      <c r="BL7" s="33"/>
      <c r="BM7" s="149"/>
    </row>
    <row r="8" spans="1:65" x14ac:dyDescent="0.3">
      <c r="A8" s="148"/>
      <c r="B8" s="16"/>
      <c r="C8" s="23"/>
      <c r="D8" s="23"/>
      <c r="E8" s="36"/>
      <c r="F8" s="41"/>
      <c r="G8" s="18"/>
      <c r="H8" s="26"/>
      <c r="I8" s="27"/>
      <c r="J8" s="179"/>
      <c r="K8" s="40"/>
      <c r="L8" s="31"/>
      <c r="M8" s="31"/>
      <c r="N8" s="31"/>
      <c r="O8" s="45"/>
      <c r="P8" s="40"/>
      <c r="Q8" s="31"/>
      <c r="R8" s="31"/>
      <c r="S8" s="45"/>
      <c r="T8" s="47"/>
      <c r="U8" s="18"/>
      <c r="V8" s="50"/>
      <c r="W8" s="54"/>
      <c r="X8" s="61"/>
      <c r="Y8" s="18"/>
      <c r="Z8" s="50"/>
      <c r="AA8" s="61"/>
      <c r="AB8" s="18"/>
      <c r="AC8" s="50"/>
      <c r="AD8" s="47"/>
      <c r="AE8" s="18"/>
      <c r="AF8" s="50"/>
      <c r="AG8" s="63"/>
      <c r="AH8" s="18"/>
      <c r="AI8" s="66"/>
      <c r="AJ8" s="65"/>
      <c r="AK8" s="20"/>
      <c r="AL8" s="66"/>
      <c r="AM8" s="65"/>
      <c r="AN8" s="20"/>
      <c r="AO8" s="66"/>
      <c r="AP8" s="63"/>
      <c r="AQ8" s="28"/>
      <c r="AR8" s="50"/>
      <c r="AS8" s="39"/>
      <c r="AT8" s="18"/>
      <c r="AU8" s="50"/>
      <c r="AV8" s="65"/>
      <c r="AW8" s="19"/>
      <c r="AX8" s="66"/>
      <c r="AY8" s="65"/>
      <c r="AZ8" s="19"/>
      <c r="BA8" s="66"/>
      <c r="BB8" s="69"/>
      <c r="BC8" s="77"/>
      <c r="BD8" s="40"/>
      <c r="BE8" s="20"/>
      <c r="BF8" s="24"/>
      <c r="BG8" s="21"/>
      <c r="BH8" s="22"/>
      <c r="BI8" s="33"/>
      <c r="BJ8" s="33"/>
      <c r="BK8" s="33"/>
      <c r="BL8" s="33"/>
      <c r="BM8" s="149"/>
    </row>
    <row r="9" spans="1:65" x14ac:dyDescent="0.3">
      <c r="A9" s="148">
        <v>2</v>
      </c>
      <c r="B9" s="28">
        <v>1002</v>
      </c>
      <c r="C9" s="25" t="s">
        <v>43</v>
      </c>
      <c r="D9" s="25" t="s">
        <v>48</v>
      </c>
      <c r="E9" s="71" t="s">
        <v>68</v>
      </c>
      <c r="F9" s="42">
        <v>50</v>
      </c>
      <c r="G9" s="31" t="s">
        <v>44</v>
      </c>
      <c r="H9" s="26">
        <v>40</v>
      </c>
      <c r="I9" s="27" t="s">
        <v>45</v>
      </c>
      <c r="J9" s="179">
        <v>2</v>
      </c>
      <c r="K9" s="40" t="s">
        <v>46</v>
      </c>
      <c r="L9" s="31" t="s">
        <v>47</v>
      </c>
      <c r="M9" s="31">
        <v>50</v>
      </c>
      <c r="N9" s="31" t="s">
        <v>44</v>
      </c>
      <c r="O9" s="45" t="s">
        <v>44</v>
      </c>
      <c r="P9" s="40" t="s">
        <v>51</v>
      </c>
      <c r="Q9" s="31" t="s">
        <v>52</v>
      </c>
      <c r="R9" s="31" t="s">
        <v>76</v>
      </c>
      <c r="S9" s="45" t="s">
        <v>44</v>
      </c>
      <c r="T9" s="121">
        <v>80</v>
      </c>
      <c r="U9" s="134" t="s">
        <v>44</v>
      </c>
      <c r="V9" s="122">
        <v>1</v>
      </c>
      <c r="W9" s="54">
        <v>1</v>
      </c>
      <c r="X9" s="176">
        <v>50</v>
      </c>
      <c r="Y9" s="177" t="s">
        <v>44</v>
      </c>
      <c r="Z9" s="178">
        <v>1</v>
      </c>
      <c r="AA9" s="61"/>
      <c r="AB9" s="18"/>
      <c r="AC9" s="50"/>
      <c r="AD9" s="47"/>
      <c r="AE9" s="18"/>
      <c r="AF9" s="50"/>
      <c r="AG9" s="63"/>
      <c r="AH9" s="18"/>
      <c r="AI9" s="66"/>
      <c r="AJ9" s="65"/>
      <c r="AK9" s="20"/>
      <c r="AL9" s="66"/>
      <c r="AM9" s="65"/>
      <c r="AN9" s="20"/>
      <c r="AO9" s="66"/>
      <c r="AP9" s="63"/>
      <c r="AQ9" s="28"/>
      <c r="AR9" s="50"/>
      <c r="AS9" s="39"/>
      <c r="AT9" s="18"/>
      <c r="AU9" s="50"/>
      <c r="AV9" s="65"/>
      <c r="AW9" s="19"/>
      <c r="AX9" s="66"/>
      <c r="AY9" s="65"/>
      <c r="AZ9" s="19"/>
      <c r="BA9" s="66"/>
      <c r="BB9" s="69"/>
      <c r="BC9" s="77"/>
      <c r="BD9" s="40"/>
      <c r="BE9" s="28">
        <v>50</v>
      </c>
      <c r="BF9" s="28">
        <v>60.3</v>
      </c>
      <c r="BG9" s="26">
        <v>40</v>
      </c>
      <c r="BH9" s="29" t="s">
        <v>45</v>
      </c>
      <c r="BI9" s="25">
        <f>(BG9*2)+BF9</f>
        <v>140.30000000000001</v>
      </c>
      <c r="BJ9" s="25">
        <f>BI9/1000*3.142*J9</f>
        <v>0.88164520000000002</v>
      </c>
      <c r="BK9" s="25">
        <f>BJ9+BJ9*10%</f>
        <v>0.96980971999999999</v>
      </c>
      <c r="BL9" s="25">
        <f>BK9*BG9/1000*160</f>
        <v>6.2067822079999999</v>
      </c>
      <c r="BM9" s="126">
        <f>BK9*2.7*0.511</f>
        <v>1.3380464706840001</v>
      </c>
    </row>
    <row r="10" spans="1:65" x14ac:dyDescent="0.3">
      <c r="A10" s="148"/>
      <c r="B10" s="16"/>
      <c r="C10" s="23"/>
      <c r="D10" s="25"/>
      <c r="E10" s="37" t="s">
        <v>68</v>
      </c>
      <c r="F10" s="42"/>
      <c r="G10" s="31"/>
      <c r="H10" s="26"/>
      <c r="I10" s="29"/>
      <c r="J10" s="180"/>
      <c r="K10" s="40"/>
      <c r="L10" s="31"/>
      <c r="M10" s="31"/>
      <c r="N10" s="31"/>
      <c r="O10" s="45"/>
      <c r="P10" s="40" t="s">
        <v>57</v>
      </c>
      <c r="Q10" s="31" t="s">
        <v>54</v>
      </c>
      <c r="R10" s="31" t="s">
        <v>78</v>
      </c>
      <c r="S10" s="45" t="s">
        <v>44</v>
      </c>
      <c r="T10" s="174">
        <v>25</v>
      </c>
      <c r="U10" s="139" t="s">
        <v>44</v>
      </c>
      <c r="V10" s="175">
        <v>1</v>
      </c>
      <c r="W10" s="54">
        <v>1</v>
      </c>
      <c r="X10" s="61"/>
      <c r="Y10" s="18"/>
      <c r="Z10" s="50"/>
      <c r="AA10" s="61"/>
      <c r="AB10" s="18"/>
      <c r="AC10" s="50"/>
      <c r="AD10" s="47"/>
      <c r="AE10" s="18"/>
      <c r="AF10" s="50"/>
      <c r="AG10" s="63"/>
      <c r="AH10" s="18"/>
      <c r="AI10" s="66"/>
      <c r="AJ10" s="65"/>
      <c r="AK10" s="20"/>
      <c r="AL10" s="66"/>
      <c r="AM10" s="65"/>
      <c r="AN10" s="20"/>
      <c r="AO10" s="66"/>
      <c r="AP10" s="63"/>
      <c r="AQ10" s="28"/>
      <c r="AR10" s="50"/>
      <c r="AS10" s="39"/>
      <c r="AT10" s="18"/>
      <c r="AU10" s="50"/>
      <c r="AV10" s="65"/>
      <c r="AW10" s="19"/>
      <c r="AX10" s="66"/>
      <c r="AY10" s="65"/>
      <c r="AZ10" s="19"/>
      <c r="BA10" s="66"/>
      <c r="BB10" s="69"/>
      <c r="BC10" s="77"/>
      <c r="BD10" s="40"/>
      <c r="BE10" s="24"/>
      <c r="BF10" s="24"/>
      <c r="BG10" s="21"/>
      <c r="BH10" s="34"/>
      <c r="BI10" s="33"/>
      <c r="BJ10" s="33"/>
      <c r="BK10" s="33"/>
      <c r="BL10" s="33"/>
      <c r="BM10" s="149"/>
    </row>
    <row r="11" spans="1:65" x14ac:dyDescent="0.3">
      <c r="A11" s="148"/>
      <c r="B11" s="16"/>
      <c r="C11" s="23"/>
      <c r="D11" s="23"/>
      <c r="E11" s="36"/>
      <c r="F11" s="41"/>
      <c r="G11" s="18"/>
      <c r="H11" s="26"/>
      <c r="I11" s="27"/>
      <c r="J11" s="179"/>
      <c r="K11" s="40"/>
      <c r="L11" s="31"/>
      <c r="M11" s="31"/>
      <c r="N11" s="31"/>
      <c r="O11" s="45"/>
      <c r="P11" s="40"/>
      <c r="Q11" s="31"/>
      <c r="R11" s="31"/>
      <c r="S11" s="45"/>
      <c r="T11" s="47"/>
      <c r="U11" s="18"/>
      <c r="V11" s="50"/>
      <c r="W11" s="54"/>
      <c r="X11" s="61"/>
      <c r="Y11" s="18"/>
      <c r="Z11" s="50"/>
      <c r="AA11" s="61"/>
      <c r="AB11" s="18"/>
      <c r="AC11" s="50"/>
      <c r="AD11" s="47"/>
      <c r="AE11" s="18"/>
      <c r="AF11" s="50"/>
      <c r="AG11" s="63"/>
      <c r="AH11" s="18"/>
      <c r="AI11" s="66"/>
      <c r="AJ11" s="65"/>
      <c r="AK11" s="20"/>
      <c r="AL11" s="66"/>
      <c r="AM11" s="65"/>
      <c r="AN11" s="20"/>
      <c r="AO11" s="66"/>
      <c r="AP11" s="63"/>
      <c r="AQ11" s="28"/>
      <c r="AR11" s="50"/>
      <c r="AS11" s="39"/>
      <c r="AT11" s="18"/>
      <c r="AU11" s="50"/>
      <c r="AV11" s="65"/>
      <c r="AW11" s="19"/>
      <c r="AX11" s="66"/>
      <c r="AY11" s="65"/>
      <c r="AZ11" s="19"/>
      <c r="BA11" s="66"/>
      <c r="BB11" s="69"/>
      <c r="BC11" s="76"/>
      <c r="BD11" s="40"/>
      <c r="BE11" s="20"/>
      <c r="BF11" s="24"/>
      <c r="BG11" s="21"/>
      <c r="BH11" s="22"/>
      <c r="BI11" s="33"/>
      <c r="BJ11" s="33"/>
      <c r="BK11" s="33"/>
      <c r="BL11" s="33"/>
      <c r="BM11" s="149"/>
    </row>
    <row r="12" spans="1:65" x14ac:dyDescent="0.3">
      <c r="A12" s="148">
        <v>3</v>
      </c>
      <c r="B12" s="28">
        <v>1003</v>
      </c>
      <c r="C12" s="25" t="s">
        <v>48</v>
      </c>
      <c r="D12" s="150" t="s">
        <v>43</v>
      </c>
      <c r="E12" s="71" t="s">
        <v>68</v>
      </c>
      <c r="F12" s="42">
        <v>50</v>
      </c>
      <c r="G12" s="31" t="s">
        <v>44</v>
      </c>
      <c r="H12" s="26">
        <v>40</v>
      </c>
      <c r="I12" s="27" t="s">
        <v>45</v>
      </c>
      <c r="J12" s="179">
        <v>7</v>
      </c>
      <c r="K12" s="40" t="s">
        <v>46</v>
      </c>
      <c r="L12" s="31" t="s">
        <v>55</v>
      </c>
      <c r="M12" s="31">
        <v>50</v>
      </c>
      <c r="N12" s="31" t="s">
        <v>44</v>
      </c>
      <c r="O12" s="45" t="s">
        <v>44</v>
      </c>
      <c r="P12" s="40" t="s">
        <v>51</v>
      </c>
      <c r="Q12" s="31" t="s">
        <v>52</v>
      </c>
      <c r="R12" s="31" t="s">
        <v>78</v>
      </c>
      <c r="S12" s="45" t="s">
        <v>44</v>
      </c>
      <c r="T12" s="174">
        <v>25</v>
      </c>
      <c r="U12" s="139" t="s">
        <v>44</v>
      </c>
      <c r="V12" s="175">
        <v>1</v>
      </c>
      <c r="W12" s="54">
        <v>1</v>
      </c>
      <c r="X12" s="176">
        <v>50</v>
      </c>
      <c r="Y12" s="177" t="s">
        <v>44</v>
      </c>
      <c r="Z12" s="178">
        <v>6</v>
      </c>
      <c r="AA12" s="61"/>
      <c r="AB12" s="18"/>
      <c r="AC12" s="50"/>
      <c r="AD12" s="47"/>
      <c r="AE12" s="18"/>
      <c r="AF12" s="50"/>
      <c r="AG12" s="63" t="s">
        <v>80</v>
      </c>
      <c r="AH12" s="18" t="s">
        <v>87</v>
      </c>
      <c r="AI12" s="66">
        <v>1</v>
      </c>
      <c r="AJ12" s="65"/>
      <c r="AK12" s="20"/>
      <c r="AL12" s="66"/>
      <c r="AM12" s="65"/>
      <c r="AN12" s="20"/>
      <c r="AO12" s="66"/>
      <c r="AP12" s="63"/>
      <c r="AQ12" s="28"/>
      <c r="AR12" s="50"/>
      <c r="AS12" s="39"/>
      <c r="AT12" s="18"/>
      <c r="AU12" s="50"/>
      <c r="AV12" s="65" t="s">
        <v>87</v>
      </c>
      <c r="AW12" s="19" t="s">
        <v>44</v>
      </c>
      <c r="AX12" s="66">
        <v>1</v>
      </c>
      <c r="AY12" s="65"/>
      <c r="AZ12" s="19"/>
      <c r="BA12" s="66"/>
      <c r="BB12" s="69"/>
      <c r="BC12" s="77"/>
      <c r="BD12" s="40"/>
      <c r="BE12" s="28">
        <v>50</v>
      </c>
      <c r="BF12" s="28">
        <v>60.3</v>
      </c>
      <c r="BG12" s="26">
        <v>40</v>
      </c>
      <c r="BH12" s="29" t="s">
        <v>45</v>
      </c>
      <c r="BI12" s="25">
        <f>(BG12*2)+BF12</f>
        <v>140.30000000000001</v>
      </c>
      <c r="BJ12" s="25">
        <f>BI12/1000*3.142*J12</f>
        <v>3.0857581999999999</v>
      </c>
      <c r="BK12" s="25">
        <f>BJ12+BJ12*10%</f>
        <v>3.3943340200000001</v>
      </c>
      <c r="BL12" s="25">
        <f>BK12*BG12/1000*160</f>
        <v>21.723737728</v>
      </c>
      <c r="BM12" s="126">
        <f>BK12*2.7*0.511</f>
        <v>4.683162647394</v>
      </c>
    </row>
    <row r="13" spans="1:65" x14ac:dyDescent="0.3">
      <c r="A13" s="43"/>
      <c r="B13" s="28"/>
      <c r="C13" s="23"/>
      <c r="D13" s="25"/>
      <c r="E13" s="37" t="s">
        <v>68</v>
      </c>
      <c r="F13" s="42"/>
      <c r="G13" s="31"/>
      <c r="H13" s="26"/>
      <c r="I13" s="29"/>
      <c r="J13" s="180"/>
      <c r="K13" s="40" t="s">
        <v>56</v>
      </c>
      <c r="L13" s="31" t="s">
        <v>47</v>
      </c>
      <c r="M13" s="31">
        <v>50</v>
      </c>
      <c r="N13" s="31" t="s">
        <v>44</v>
      </c>
      <c r="O13" s="45" t="s">
        <v>44</v>
      </c>
      <c r="P13" s="40" t="s">
        <v>57</v>
      </c>
      <c r="Q13" s="31" t="s">
        <v>52</v>
      </c>
      <c r="R13" s="31" t="s">
        <v>75</v>
      </c>
      <c r="S13" s="45" t="s">
        <v>44</v>
      </c>
      <c r="T13" s="136">
        <v>65</v>
      </c>
      <c r="U13" s="134" t="s">
        <v>44</v>
      </c>
      <c r="V13" s="137">
        <v>1</v>
      </c>
      <c r="W13" s="55">
        <v>1</v>
      </c>
      <c r="X13" s="128"/>
      <c r="Y13" s="23"/>
      <c r="Z13" s="129"/>
      <c r="AA13" s="62"/>
      <c r="AB13" s="31"/>
      <c r="AC13" s="51"/>
      <c r="AD13" s="48"/>
      <c r="AE13" s="31"/>
      <c r="AF13" s="51"/>
      <c r="AG13" s="64"/>
      <c r="AH13" s="31"/>
      <c r="AI13" s="45"/>
      <c r="AJ13" s="64"/>
      <c r="AK13" s="24"/>
      <c r="AL13" s="45"/>
      <c r="AM13" s="64"/>
      <c r="AN13" s="24"/>
      <c r="AO13" s="45"/>
      <c r="AP13" s="63"/>
      <c r="AQ13" s="28"/>
      <c r="AR13" s="51"/>
      <c r="AS13" s="40"/>
      <c r="AT13" s="31"/>
      <c r="AU13" s="51"/>
      <c r="AV13" s="64"/>
      <c r="AW13" s="32"/>
      <c r="AX13" s="45"/>
      <c r="AY13" s="64"/>
      <c r="AZ13" s="32"/>
      <c r="BA13" s="45"/>
      <c r="BB13" s="69"/>
      <c r="BC13" s="78"/>
      <c r="BD13" s="48"/>
      <c r="BE13" s="24"/>
      <c r="BF13" s="24"/>
      <c r="BG13" s="21"/>
      <c r="BH13" s="34"/>
      <c r="BI13" s="31"/>
      <c r="BJ13" s="31"/>
      <c r="BK13" s="31"/>
      <c r="BL13" s="31"/>
      <c r="BM13" s="45"/>
    </row>
    <row r="14" spans="1:65" x14ac:dyDescent="0.3">
      <c r="A14" s="43"/>
      <c r="B14" s="28"/>
      <c r="C14" s="23"/>
      <c r="D14" s="25"/>
      <c r="E14" s="37" t="s">
        <v>68</v>
      </c>
      <c r="F14" s="42"/>
      <c r="G14" s="31"/>
      <c r="H14" s="26"/>
      <c r="I14" s="29"/>
      <c r="J14" s="180"/>
      <c r="K14" s="40"/>
      <c r="L14" s="31"/>
      <c r="M14" s="31"/>
      <c r="N14" s="31"/>
      <c r="O14" s="45"/>
      <c r="P14" s="40"/>
      <c r="Q14" s="31"/>
      <c r="R14" s="31"/>
      <c r="S14" s="45"/>
      <c r="T14" s="143">
        <v>50</v>
      </c>
      <c r="U14" s="135" t="s">
        <v>44</v>
      </c>
      <c r="V14" s="144">
        <v>2</v>
      </c>
      <c r="W14" s="55">
        <v>1</v>
      </c>
      <c r="X14" s="62"/>
      <c r="Y14" s="31"/>
      <c r="Z14" s="51"/>
      <c r="AA14" s="62"/>
      <c r="AB14" s="31"/>
      <c r="AC14" s="51"/>
      <c r="AD14" s="48"/>
      <c r="AE14" s="31"/>
      <c r="AF14" s="51"/>
      <c r="AG14" s="64"/>
      <c r="AH14" s="31"/>
      <c r="AI14" s="45"/>
      <c r="AJ14" s="64"/>
      <c r="AK14" s="24"/>
      <c r="AL14" s="45"/>
      <c r="AM14" s="64"/>
      <c r="AN14" s="24"/>
      <c r="AO14" s="45"/>
      <c r="AP14" s="63"/>
      <c r="AQ14" s="28"/>
      <c r="AR14" s="51"/>
      <c r="AS14" s="40"/>
      <c r="AT14" s="31"/>
      <c r="AU14" s="51"/>
      <c r="AV14" s="64"/>
      <c r="AW14" s="32"/>
      <c r="AX14" s="45"/>
      <c r="AY14" s="64"/>
      <c r="AZ14" s="32"/>
      <c r="BA14" s="45"/>
      <c r="BB14" s="69"/>
      <c r="BC14" s="78"/>
      <c r="BD14" s="48"/>
      <c r="BE14" s="24"/>
      <c r="BF14" s="24"/>
      <c r="BG14" s="21"/>
      <c r="BH14" s="34"/>
      <c r="BI14" s="31"/>
      <c r="BJ14" s="31"/>
      <c r="BK14" s="31"/>
      <c r="BL14" s="31"/>
      <c r="BM14" s="45"/>
    </row>
    <row r="15" spans="1:65" x14ac:dyDescent="0.3">
      <c r="A15" s="43"/>
      <c r="B15" s="28"/>
      <c r="C15" s="23"/>
      <c r="D15" s="25"/>
      <c r="E15" s="37"/>
      <c r="F15" s="42"/>
      <c r="G15" s="31"/>
      <c r="H15" s="26"/>
      <c r="I15" s="27"/>
      <c r="J15" s="180"/>
      <c r="K15" s="40"/>
      <c r="L15" s="31"/>
      <c r="M15" s="31"/>
      <c r="N15" s="31"/>
      <c r="O15" s="45"/>
      <c r="P15" s="40"/>
      <c r="Q15" s="31"/>
      <c r="R15" s="31"/>
      <c r="S15" s="45"/>
      <c r="T15" s="48"/>
      <c r="U15" s="18"/>
      <c r="V15" s="51"/>
      <c r="W15" s="55"/>
      <c r="X15" s="62"/>
      <c r="Y15" s="31"/>
      <c r="Z15" s="51"/>
      <c r="AA15" s="62"/>
      <c r="AB15" s="31"/>
      <c r="AC15" s="51"/>
      <c r="AD15" s="48"/>
      <c r="AE15" s="31"/>
      <c r="AF15" s="51"/>
      <c r="AG15" s="64"/>
      <c r="AH15" s="31"/>
      <c r="AI15" s="45"/>
      <c r="AJ15" s="64"/>
      <c r="AK15" s="24"/>
      <c r="AL15" s="45"/>
      <c r="AM15" s="64"/>
      <c r="AN15" s="24"/>
      <c r="AO15" s="45"/>
      <c r="AP15" s="63"/>
      <c r="AQ15" s="28"/>
      <c r="AR15" s="51"/>
      <c r="AS15" s="40"/>
      <c r="AT15" s="31"/>
      <c r="AU15" s="51"/>
      <c r="AV15" s="64"/>
      <c r="AW15" s="32"/>
      <c r="AX15" s="45"/>
      <c r="AY15" s="64"/>
      <c r="AZ15" s="32"/>
      <c r="BA15" s="45"/>
      <c r="BB15" s="69"/>
      <c r="BC15" s="78"/>
      <c r="BD15" s="48"/>
      <c r="BE15" s="24"/>
      <c r="BF15" s="24"/>
      <c r="BG15" s="21"/>
      <c r="BH15" s="34"/>
      <c r="BI15" s="31"/>
      <c r="BJ15" s="31"/>
      <c r="BK15" s="31"/>
      <c r="BL15" s="31"/>
      <c r="BM15" s="45"/>
    </row>
    <row r="16" spans="1:65" x14ac:dyDescent="0.3">
      <c r="A16" s="43"/>
      <c r="B16" s="28"/>
      <c r="C16" s="23"/>
      <c r="D16" s="25"/>
      <c r="E16" s="71" t="s">
        <v>84</v>
      </c>
      <c r="F16" s="42">
        <v>15</v>
      </c>
      <c r="G16" s="31" t="s">
        <v>44</v>
      </c>
      <c r="H16" s="26"/>
      <c r="I16" s="27"/>
      <c r="J16" s="191">
        <v>0.5</v>
      </c>
      <c r="K16" s="40" t="s">
        <v>46</v>
      </c>
      <c r="L16" s="31" t="s">
        <v>47</v>
      </c>
      <c r="M16" s="31">
        <v>15</v>
      </c>
      <c r="N16" s="31" t="s">
        <v>44</v>
      </c>
      <c r="O16" s="45" t="s">
        <v>44</v>
      </c>
      <c r="P16" s="40"/>
      <c r="Q16" s="31"/>
      <c r="R16" s="31"/>
      <c r="S16" s="45"/>
      <c r="T16" s="48"/>
      <c r="U16" s="18"/>
      <c r="V16" s="51"/>
      <c r="W16" s="55"/>
      <c r="X16" s="62"/>
      <c r="Y16" s="31"/>
      <c r="Z16" s="51"/>
      <c r="AA16" s="62"/>
      <c r="AB16" s="31"/>
      <c r="AC16" s="51"/>
      <c r="AD16" s="48"/>
      <c r="AE16" s="31"/>
      <c r="AF16" s="51"/>
      <c r="AG16" s="64"/>
      <c r="AH16" s="31"/>
      <c r="AI16" s="45"/>
      <c r="AJ16" s="64"/>
      <c r="AK16" s="24"/>
      <c r="AL16" s="45"/>
      <c r="AM16" s="64"/>
      <c r="AN16" s="24"/>
      <c r="AO16" s="45"/>
      <c r="AP16" s="63"/>
      <c r="AQ16" s="28"/>
      <c r="AR16" s="51"/>
      <c r="AS16" s="40"/>
      <c r="AT16" s="31"/>
      <c r="AU16" s="51"/>
      <c r="AV16" s="64"/>
      <c r="AW16" s="32"/>
      <c r="AX16" s="45"/>
      <c r="AY16" s="64"/>
      <c r="AZ16" s="32"/>
      <c r="BA16" s="45"/>
      <c r="BB16" s="69"/>
      <c r="BC16" s="78"/>
      <c r="BD16" s="48"/>
      <c r="BE16" s="24"/>
      <c r="BF16" s="24"/>
      <c r="BG16" s="21"/>
      <c r="BH16" s="34"/>
      <c r="BI16" s="31"/>
      <c r="BJ16" s="31"/>
      <c r="BK16" s="31"/>
      <c r="BL16" s="31"/>
      <c r="BM16" s="45"/>
    </row>
    <row r="17" spans="1:65" x14ac:dyDescent="0.3">
      <c r="A17" s="43"/>
      <c r="B17" s="28"/>
      <c r="C17" s="23"/>
      <c r="D17" s="30"/>
      <c r="E17" s="37"/>
      <c r="F17" s="42"/>
      <c r="G17" s="31"/>
      <c r="H17" s="26"/>
      <c r="I17" s="29"/>
      <c r="J17" s="180"/>
      <c r="K17" s="40"/>
      <c r="L17" s="31"/>
      <c r="M17" s="31"/>
      <c r="N17" s="31"/>
      <c r="O17" s="45"/>
      <c r="P17" s="40"/>
      <c r="Q17" s="31"/>
      <c r="R17" s="31"/>
      <c r="S17" s="45"/>
      <c r="T17" s="48"/>
      <c r="U17" s="31"/>
      <c r="V17" s="51"/>
      <c r="W17" s="55"/>
      <c r="X17" s="62"/>
      <c r="Y17" s="31"/>
      <c r="Z17" s="51"/>
      <c r="AA17" s="62"/>
      <c r="AB17" s="31"/>
      <c r="AC17" s="51"/>
      <c r="AD17" s="48"/>
      <c r="AE17" s="31"/>
      <c r="AF17" s="51"/>
      <c r="AG17" s="64"/>
      <c r="AH17" s="31"/>
      <c r="AI17" s="45"/>
      <c r="AJ17" s="64"/>
      <c r="AK17" s="24"/>
      <c r="AL17" s="45"/>
      <c r="AM17" s="64"/>
      <c r="AN17" s="24"/>
      <c r="AO17" s="45"/>
      <c r="AP17" s="63"/>
      <c r="AQ17" s="28"/>
      <c r="AR17" s="51"/>
      <c r="AS17" s="40"/>
      <c r="AT17" s="31"/>
      <c r="AU17" s="51"/>
      <c r="AV17" s="64"/>
      <c r="AW17" s="32"/>
      <c r="AX17" s="45"/>
      <c r="AY17" s="64"/>
      <c r="AZ17" s="32"/>
      <c r="BA17" s="45"/>
      <c r="BB17" s="69"/>
      <c r="BC17" s="78"/>
      <c r="BD17" s="48"/>
      <c r="BE17" s="24"/>
      <c r="BF17" s="24"/>
      <c r="BG17" s="21"/>
      <c r="BH17" s="34"/>
      <c r="BI17" s="31"/>
      <c r="BJ17" s="31"/>
      <c r="BK17" s="31"/>
      <c r="BL17" s="31"/>
      <c r="BM17" s="45"/>
    </row>
    <row r="18" spans="1:65" x14ac:dyDescent="0.3">
      <c r="A18" s="43">
        <v>4</v>
      </c>
      <c r="B18" s="28">
        <v>1004</v>
      </c>
      <c r="C18" s="25">
        <v>1003</v>
      </c>
      <c r="D18" s="25" t="s">
        <v>49</v>
      </c>
      <c r="E18" s="71" t="s">
        <v>68</v>
      </c>
      <c r="F18" s="42">
        <v>50</v>
      </c>
      <c r="G18" s="31" t="s">
        <v>44</v>
      </c>
      <c r="H18" s="26"/>
      <c r="I18" s="29"/>
      <c r="J18" s="180">
        <v>5</v>
      </c>
      <c r="K18" s="40" t="s">
        <v>46</v>
      </c>
      <c r="L18" s="31" t="s">
        <v>47</v>
      </c>
      <c r="M18" s="31">
        <v>50</v>
      </c>
      <c r="N18" s="31" t="s">
        <v>44</v>
      </c>
      <c r="O18" s="45" t="s">
        <v>44</v>
      </c>
      <c r="P18" s="40"/>
      <c r="Q18" s="31"/>
      <c r="R18" s="31"/>
      <c r="S18" s="45"/>
      <c r="T18" s="136">
        <v>50</v>
      </c>
      <c r="U18" s="134" t="s">
        <v>44</v>
      </c>
      <c r="V18" s="137">
        <v>1</v>
      </c>
      <c r="W18" s="55">
        <v>1</v>
      </c>
      <c r="X18" s="176">
        <v>50</v>
      </c>
      <c r="Y18" s="177" t="s">
        <v>44</v>
      </c>
      <c r="Z18" s="178">
        <v>2</v>
      </c>
      <c r="AA18" s="62"/>
      <c r="AB18" s="31"/>
      <c r="AC18" s="51"/>
      <c r="AD18" s="48"/>
      <c r="AE18" s="31"/>
      <c r="AF18" s="51"/>
      <c r="AG18" s="64"/>
      <c r="AH18" s="31"/>
      <c r="AI18" s="45"/>
      <c r="AJ18" s="64"/>
      <c r="AK18" s="24"/>
      <c r="AL18" s="45"/>
      <c r="AM18" s="64"/>
      <c r="AN18" s="24"/>
      <c r="AO18" s="45"/>
      <c r="AP18" s="35"/>
      <c r="AQ18" s="28"/>
      <c r="AR18" s="51"/>
      <c r="AS18" s="40"/>
      <c r="AT18" s="31"/>
      <c r="AU18" s="51"/>
      <c r="AV18" s="64"/>
      <c r="AW18" s="32"/>
      <c r="AX18" s="45"/>
      <c r="AY18" s="64"/>
      <c r="AZ18" s="32"/>
      <c r="BA18" s="45"/>
      <c r="BB18" s="69"/>
      <c r="BC18" s="78"/>
      <c r="BD18" s="40"/>
      <c r="BE18" s="24"/>
      <c r="BF18" s="24"/>
      <c r="BG18" s="21"/>
      <c r="BH18" s="34"/>
      <c r="BI18" s="33"/>
      <c r="BJ18" s="33"/>
      <c r="BK18" s="33"/>
      <c r="BL18" s="33"/>
      <c r="BM18" s="149"/>
    </row>
    <row r="19" spans="1:65" x14ac:dyDescent="0.3">
      <c r="A19" s="43"/>
      <c r="B19" s="28"/>
      <c r="C19" s="30"/>
      <c r="D19" s="30"/>
      <c r="E19" s="37" t="s">
        <v>68</v>
      </c>
      <c r="F19" s="42"/>
      <c r="G19" s="31"/>
      <c r="H19" s="26"/>
      <c r="I19" s="29"/>
      <c r="J19" s="180"/>
      <c r="K19" s="40" t="s">
        <v>56</v>
      </c>
      <c r="L19" s="31" t="s">
        <v>47</v>
      </c>
      <c r="M19" s="31">
        <v>50</v>
      </c>
      <c r="N19" s="31" t="s">
        <v>44</v>
      </c>
      <c r="O19" s="45" t="s">
        <v>44</v>
      </c>
      <c r="P19" s="40"/>
      <c r="Q19" s="31"/>
      <c r="R19" s="31"/>
      <c r="S19" s="45"/>
      <c r="T19" s="48"/>
      <c r="U19" s="31"/>
      <c r="V19" s="51"/>
      <c r="W19" s="55"/>
      <c r="X19" s="123">
        <v>50</v>
      </c>
      <c r="Y19" s="124" t="s">
        <v>44</v>
      </c>
      <c r="Z19" s="125">
        <v>1</v>
      </c>
      <c r="AA19" s="62"/>
      <c r="AB19" s="31"/>
      <c r="AC19" s="51"/>
      <c r="AD19" s="48"/>
      <c r="AE19" s="31"/>
      <c r="AF19" s="51"/>
      <c r="AG19" s="64"/>
      <c r="AH19" s="31"/>
      <c r="AI19" s="45"/>
      <c r="AJ19" s="64"/>
      <c r="AK19" s="24"/>
      <c r="AL19" s="45"/>
      <c r="AM19" s="64"/>
      <c r="AN19" s="24"/>
      <c r="AO19" s="45"/>
      <c r="AP19" s="63"/>
      <c r="AQ19" s="28"/>
      <c r="AR19" s="51"/>
      <c r="AS19" s="40"/>
      <c r="AT19" s="31"/>
      <c r="AU19" s="51"/>
      <c r="AV19" s="64"/>
      <c r="AW19" s="32"/>
      <c r="AX19" s="45"/>
      <c r="AY19" s="64"/>
      <c r="AZ19" s="32"/>
      <c r="BA19" s="45"/>
      <c r="BB19" s="69"/>
      <c r="BC19" s="78"/>
      <c r="BD19" s="40"/>
      <c r="BE19" s="24"/>
      <c r="BF19" s="24"/>
      <c r="BG19" s="21"/>
      <c r="BH19" s="34"/>
      <c r="BI19" s="33"/>
      <c r="BJ19" s="33"/>
      <c r="BK19" s="33"/>
      <c r="BL19" s="33"/>
      <c r="BM19" s="149"/>
    </row>
    <row r="20" spans="1:65" x14ac:dyDescent="0.3">
      <c r="A20" s="43"/>
      <c r="B20" s="28"/>
      <c r="C20" s="25"/>
      <c r="D20" s="25"/>
      <c r="E20" s="37"/>
      <c r="F20" s="42"/>
      <c r="G20" s="31"/>
      <c r="H20" s="26"/>
      <c r="I20" s="29"/>
      <c r="J20" s="180"/>
      <c r="K20" s="40"/>
      <c r="L20" s="31"/>
      <c r="M20" s="31"/>
      <c r="N20" s="31"/>
      <c r="O20" s="45"/>
      <c r="P20" s="40"/>
      <c r="Q20" s="31"/>
      <c r="R20" s="31"/>
      <c r="S20" s="45"/>
      <c r="T20" s="48"/>
      <c r="U20" s="33"/>
      <c r="V20" s="52"/>
      <c r="W20" s="56"/>
      <c r="X20" s="62"/>
      <c r="Y20" s="31"/>
      <c r="Z20" s="51"/>
      <c r="AA20" s="62"/>
      <c r="AB20" s="31"/>
      <c r="AC20" s="51"/>
      <c r="AD20" s="48"/>
      <c r="AE20" s="31"/>
      <c r="AF20" s="51"/>
      <c r="AG20" s="64"/>
      <c r="AH20" s="31"/>
      <c r="AI20" s="45"/>
      <c r="AJ20" s="64"/>
      <c r="AK20" s="24"/>
      <c r="AL20" s="45"/>
      <c r="AM20" s="64"/>
      <c r="AN20" s="24"/>
      <c r="AO20" s="45"/>
      <c r="AP20" s="63"/>
      <c r="AQ20" s="28"/>
      <c r="AR20" s="51"/>
      <c r="AS20" s="40"/>
      <c r="AT20" s="31"/>
      <c r="AU20" s="51"/>
      <c r="AV20" s="64"/>
      <c r="AW20" s="32"/>
      <c r="AX20" s="45"/>
      <c r="AY20" s="64"/>
      <c r="AZ20" s="32"/>
      <c r="BA20" s="45"/>
      <c r="BB20" s="69"/>
      <c r="BC20" s="78"/>
      <c r="BD20" s="40"/>
      <c r="BE20" s="24"/>
      <c r="BF20" s="24"/>
      <c r="BG20" s="21"/>
      <c r="BH20" s="34"/>
      <c r="BI20" s="33"/>
      <c r="BJ20" s="33"/>
      <c r="BK20" s="33"/>
      <c r="BL20" s="33"/>
      <c r="BM20" s="149"/>
    </row>
    <row r="21" spans="1:65" x14ac:dyDescent="0.3">
      <c r="A21" s="43">
        <v>5</v>
      </c>
      <c r="B21" s="28">
        <v>1005</v>
      </c>
      <c r="C21" s="25" t="s">
        <v>49</v>
      </c>
      <c r="D21" s="25" t="s">
        <v>53</v>
      </c>
      <c r="E21" s="71" t="s">
        <v>68</v>
      </c>
      <c r="F21" s="42">
        <v>50</v>
      </c>
      <c r="G21" s="31" t="s">
        <v>44</v>
      </c>
      <c r="H21" s="26"/>
      <c r="I21" s="29"/>
      <c r="J21" s="180">
        <v>7</v>
      </c>
      <c r="K21" s="40" t="s">
        <v>46</v>
      </c>
      <c r="L21" s="31" t="s">
        <v>47</v>
      </c>
      <c r="M21" s="31">
        <v>50</v>
      </c>
      <c r="N21" s="31" t="s">
        <v>44</v>
      </c>
      <c r="O21" s="45" t="s">
        <v>44</v>
      </c>
      <c r="P21" s="40"/>
      <c r="Q21" s="31"/>
      <c r="R21" s="31"/>
      <c r="S21" s="45"/>
      <c r="T21" s="136">
        <v>50</v>
      </c>
      <c r="U21" s="134" t="s">
        <v>44</v>
      </c>
      <c r="V21" s="137">
        <v>1</v>
      </c>
      <c r="W21" s="55">
        <v>1</v>
      </c>
      <c r="X21" s="176">
        <v>50</v>
      </c>
      <c r="Y21" s="177" t="s">
        <v>44</v>
      </c>
      <c r="Z21" s="178">
        <v>2</v>
      </c>
      <c r="AA21" s="62"/>
      <c r="AB21" s="31"/>
      <c r="AC21" s="51"/>
      <c r="AD21" s="48"/>
      <c r="AE21" s="31"/>
      <c r="AF21" s="51"/>
      <c r="AG21" s="64"/>
      <c r="AH21" s="31"/>
      <c r="AI21" s="45"/>
      <c r="AJ21" s="64"/>
      <c r="AK21" s="24"/>
      <c r="AL21" s="45"/>
      <c r="AM21" s="64"/>
      <c r="AN21" s="24"/>
      <c r="AO21" s="45"/>
      <c r="AP21" s="63"/>
      <c r="AQ21" s="28"/>
      <c r="AR21" s="51"/>
      <c r="AS21" s="40"/>
      <c r="AT21" s="31"/>
      <c r="AU21" s="51"/>
      <c r="AV21" s="64"/>
      <c r="AW21" s="32"/>
      <c r="AX21" s="45"/>
      <c r="AY21" s="64"/>
      <c r="AZ21" s="32"/>
      <c r="BA21" s="45"/>
      <c r="BB21" s="69"/>
      <c r="BC21" s="78"/>
      <c r="BD21" s="40"/>
      <c r="BE21" s="24"/>
      <c r="BF21" s="24"/>
      <c r="BG21" s="21"/>
      <c r="BH21" s="34"/>
      <c r="BI21" s="31"/>
      <c r="BJ21" s="31"/>
      <c r="BK21" s="31"/>
      <c r="BL21" s="31"/>
      <c r="BM21" s="45"/>
    </row>
    <row r="22" spans="1:65" x14ac:dyDescent="0.3">
      <c r="A22" s="43"/>
      <c r="B22" s="28"/>
      <c r="C22" s="25"/>
      <c r="D22" s="25"/>
      <c r="E22" s="37" t="s">
        <v>68</v>
      </c>
      <c r="F22" s="42"/>
      <c r="G22" s="31"/>
      <c r="H22" s="26"/>
      <c r="I22" s="29"/>
      <c r="J22" s="180"/>
      <c r="K22" s="40"/>
      <c r="L22" s="31"/>
      <c r="M22" s="31"/>
      <c r="N22" s="31"/>
      <c r="O22" s="45"/>
      <c r="P22" s="40"/>
      <c r="Q22" s="31"/>
      <c r="R22" s="31"/>
      <c r="S22" s="45"/>
      <c r="T22" s="141">
        <v>50</v>
      </c>
      <c r="U22" s="183" t="s">
        <v>44</v>
      </c>
      <c r="V22" s="142">
        <v>1</v>
      </c>
      <c r="W22" s="81">
        <v>1</v>
      </c>
      <c r="X22" s="62"/>
      <c r="Y22" s="31"/>
      <c r="Z22" s="51"/>
      <c r="AA22" s="62"/>
      <c r="AB22" s="31"/>
      <c r="AC22" s="51"/>
      <c r="AD22" s="48"/>
      <c r="AE22" s="31"/>
      <c r="AF22" s="51"/>
      <c r="AG22" s="64"/>
      <c r="AH22" s="31"/>
      <c r="AI22" s="45"/>
      <c r="AJ22" s="64"/>
      <c r="AK22" s="24"/>
      <c r="AL22" s="45"/>
      <c r="AM22" s="64"/>
      <c r="AN22" s="24"/>
      <c r="AO22" s="45"/>
      <c r="AP22" s="63"/>
      <c r="AQ22" s="28"/>
      <c r="AR22" s="51"/>
      <c r="AS22" s="40"/>
      <c r="AT22" s="31"/>
      <c r="AU22" s="51"/>
      <c r="AV22" s="64"/>
      <c r="AW22" s="32"/>
      <c r="AX22" s="45"/>
      <c r="AY22" s="64"/>
      <c r="AZ22" s="32"/>
      <c r="BA22" s="45"/>
      <c r="BB22" s="69"/>
      <c r="BC22" s="78"/>
      <c r="BD22" s="40"/>
      <c r="BE22" s="24"/>
      <c r="BF22" s="24"/>
      <c r="BG22" s="21"/>
      <c r="BH22" s="34"/>
      <c r="BI22" s="31"/>
      <c r="BJ22" s="31"/>
      <c r="BK22" s="31"/>
      <c r="BL22" s="31"/>
      <c r="BM22" s="45"/>
    </row>
    <row r="23" spans="1:65" x14ac:dyDescent="0.3">
      <c r="A23" s="43"/>
      <c r="B23" s="28"/>
      <c r="C23" s="30"/>
      <c r="D23" s="25"/>
      <c r="E23" s="37"/>
      <c r="F23" s="42"/>
      <c r="G23" s="31"/>
      <c r="H23" s="26"/>
      <c r="I23" s="29"/>
      <c r="J23" s="180"/>
      <c r="K23" s="40"/>
      <c r="L23" s="31"/>
      <c r="M23" s="31"/>
      <c r="N23" s="31"/>
      <c r="O23" s="45"/>
      <c r="P23" s="40"/>
      <c r="Q23" s="31"/>
      <c r="R23" s="31"/>
      <c r="S23" s="45"/>
      <c r="T23" s="48"/>
      <c r="U23" s="31"/>
      <c r="V23" s="51"/>
      <c r="W23" s="55"/>
      <c r="X23" s="62"/>
      <c r="Y23" s="31"/>
      <c r="Z23" s="51"/>
      <c r="AA23" s="62"/>
      <c r="AB23" s="31"/>
      <c r="AC23" s="51"/>
      <c r="AD23" s="48"/>
      <c r="AE23" s="31"/>
      <c r="AF23" s="51"/>
      <c r="AG23" s="64"/>
      <c r="AH23" s="31"/>
      <c r="AI23" s="45"/>
      <c r="AJ23" s="64"/>
      <c r="AK23" s="24"/>
      <c r="AL23" s="45"/>
      <c r="AM23" s="64"/>
      <c r="AN23" s="24"/>
      <c r="AO23" s="45"/>
      <c r="AP23" s="63"/>
      <c r="AQ23" s="28"/>
      <c r="AR23" s="51"/>
      <c r="AS23" s="40"/>
      <c r="AT23" s="31"/>
      <c r="AU23" s="51"/>
      <c r="AV23" s="64"/>
      <c r="AW23" s="32"/>
      <c r="AX23" s="45"/>
      <c r="AY23" s="64"/>
      <c r="AZ23" s="32"/>
      <c r="BA23" s="45"/>
      <c r="BB23" s="69"/>
      <c r="BC23" s="78"/>
      <c r="BD23" s="48"/>
      <c r="BE23" s="24"/>
      <c r="BF23" s="24"/>
      <c r="BG23" s="21"/>
      <c r="BH23" s="34"/>
      <c r="BI23" s="31"/>
      <c r="BJ23" s="31"/>
      <c r="BK23" s="31"/>
      <c r="BL23" s="31"/>
      <c r="BM23" s="45"/>
    </row>
    <row r="24" spans="1:65" x14ac:dyDescent="0.3">
      <c r="A24" s="43">
        <v>6</v>
      </c>
      <c r="B24" s="28">
        <v>1006</v>
      </c>
      <c r="C24" s="25">
        <v>1004</v>
      </c>
      <c r="D24" s="25">
        <v>1005</v>
      </c>
      <c r="E24" s="71" t="s">
        <v>68</v>
      </c>
      <c r="F24" s="42">
        <v>50</v>
      </c>
      <c r="G24" s="31" t="s">
        <v>44</v>
      </c>
      <c r="H24" s="26"/>
      <c r="I24" s="29"/>
      <c r="J24" s="180">
        <v>1</v>
      </c>
      <c r="K24" s="40" t="s">
        <v>46</v>
      </c>
      <c r="L24" s="31" t="s">
        <v>47</v>
      </c>
      <c r="M24" s="31">
        <v>50</v>
      </c>
      <c r="N24" s="31" t="s">
        <v>44</v>
      </c>
      <c r="O24" s="45" t="s">
        <v>44</v>
      </c>
      <c r="P24" s="40"/>
      <c r="Q24" s="31"/>
      <c r="R24" s="31"/>
      <c r="S24" s="45"/>
      <c r="T24" s="48" t="s">
        <v>63</v>
      </c>
      <c r="U24" s="31" t="s">
        <v>63</v>
      </c>
      <c r="V24" s="45" t="s">
        <v>63</v>
      </c>
      <c r="W24" s="57" t="s">
        <v>63</v>
      </c>
      <c r="X24" s="62"/>
      <c r="Y24" s="31"/>
      <c r="Z24" s="51"/>
      <c r="AA24" s="62"/>
      <c r="AB24" s="31"/>
      <c r="AC24" s="51"/>
      <c r="AD24" s="48"/>
      <c r="AE24" s="31"/>
      <c r="AF24" s="51"/>
      <c r="AG24" s="64"/>
      <c r="AH24" s="31"/>
      <c r="AI24" s="45"/>
      <c r="AJ24" s="64"/>
      <c r="AK24" s="24"/>
      <c r="AL24" s="45"/>
      <c r="AM24" s="64"/>
      <c r="AN24" s="24"/>
      <c r="AO24" s="45"/>
      <c r="AP24" s="63"/>
      <c r="AQ24" s="28"/>
      <c r="AR24" s="51"/>
      <c r="AS24" s="40"/>
      <c r="AT24" s="31"/>
      <c r="AU24" s="51"/>
      <c r="AV24" s="64"/>
      <c r="AW24" s="32"/>
      <c r="AX24" s="45"/>
      <c r="AY24" s="64"/>
      <c r="AZ24" s="32"/>
      <c r="BA24" s="45"/>
      <c r="BB24" s="69"/>
      <c r="BC24" s="78"/>
      <c r="BD24" s="40"/>
      <c r="BE24" s="24"/>
      <c r="BF24" s="24"/>
      <c r="BG24" s="21"/>
      <c r="BH24" s="34"/>
      <c r="BI24" s="31"/>
      <c r="BJ24" s="31"/>
      <c r="BK24" s="31"/>
      <c r="BL24" s="31"/>
      <c r="BM24" s="45"/>
    </row>
    <row r="25" spans="1:65" x14ac:dyDescent="0.3">
      <c r="A25" s="43"/>
      <c r="B25" s="28"/>
      <c r="C25" s="25"/>
      <c r="D25" s="25"/>
      <c r="E25" s="37"/>
      <c r="F25" s="42"/>
      <c r="G25" s="31"/>
      <c r="H25" s="26"/>
      <c r="I25" s="29"/>
      <c r="J25" s="180"/>
      <c r="K25" s="40"/>
      <c r="L25" s="31"/>
      <c r="M25" s="31"/>
      <c r="N25" s="31"/>
      <c r="O25" s="45"/>
      <c r="P25" s="40"/>
      <c r="Q25" s="31"/>
      <c r="R25" s="31"/>
      <c r="S25" s="45"/>
      <c r="T25" s="48"/>
      <c r="U25" s="31"/>
      <c r="V25" s="51"/>
      <c r="W25" s="55"/>
      <c r="X25" s="62"/>
      <c r="Y25" s="31"/>
      <c r="Z25" s="51"/>
      <c r="AA25" s="62"/>
      <c r="AB25" s="31"/>
      <c r="AC25" s="51"/>
      <c r="AD25" s="48"/>
      <c r="AE25" s="31"/>
      <c r="AF25" s="51"/>
      <c r="AG25" s="64"/>
      <c r="AH25" s="31"/>
      <c r="AI25" s="45"/>
      <c r="AJ25" s="64"/>
      <c r="AK25" s="24"/>
      <c r="AL25" s="45"/>
      <c r="AM25" s="64"/>
      <c r="AN25" s="24"/>
      <c r="AO25" s="45"/>
      <c r="AP25" s="63"/>
      <c r="AQ25" s="28"/>
      <c r="AR25" s="51"/>
      <c r="AS25" s="40"/>
      <c r="AT25" s="31"/>
      <c r="AU25" s="51"/>
      <c r="AV25" s="64"/>
      <c r="AW25" s="32"/>
      <c r="AX25" s="45"/>
      <c r="AY25" s="64"/>
      <c r="AZ25" s="32"/>
      <c r="BA25" s="45"/>
      <c r="BB25" s="69"/>
      <c r="BC25" s="78"/>
      <c r="BD25" s="40"/>
      <c r="BE25" s="24"/>
      <c r="BF25" s="24"/>
      <c r="BG25" s="21"/>
      <c r="BH25" s="34"/>
      <c r="BI25" s="33"/>
      <c r="BJ25" s="33"/>
      <c r="BK25" s="33"/>
      <c r="BL25" s="33"/>
      <c r="BM25" s="149"/>
    </row>
    <row r="26" spans="1:65" x14ac:dyDescent="0.3">
      <c r="A26" s="43">
        <v>7</v>
      </c>
      <c r="B26" s="28">
        <v>1007</v>
      </c>
      <c r="C26" s="25" t="s">
        <v>59</v>
      </c>
      <c r="D26" s="25" t="s">
        <v>60</v>
      </c>
      <c r="E26" s="72" t="s">
        <v>69</v>
      </c>
      <c r="F26" s="42">
        <v>50</v>
      </c>
      <c r="G26" s="31" t="s">
        <v>71</v>
      </c>
      <c r="H26" s="26">
        <v>40</v>
      </c>
      <c r="I26" s="29" t="s">
        <v>45</v>
      </c>
      <c r="J26" s="180">
        <v>2</v>
      </c>
      <c r="K26" s="40" t="s">
        <v>46</v>
      </c>
      <c r="L26" s="31" t="s">
        <v>73</v>
      </c>
      <c r="M26" s="31">
        <v>50</v>
      </c>
      <c r="N26" s="31" t="s">
        <v>72</v>
      </c>
      <c r="O26" s="45" t="s">
        <v>44</v>
      </c>
      <c r="P26" s="40"/>
      <c r="Q26" s="31"/>
      <c r="R26" s="31"/>
      <c r="S26" s="45"/>
      <c r="T26" s="136">
        <v>50</v>
      </c>
      <c r="U26" s="118" t="s">
        <v>72</v>
      </c>
      <c r="V26" s="137">
        <v>1</v>
      </c>
      <c r="W26" s="55">
        <v>1</v>
      </c>
      <c r="X26" s="176">
        <v>50</v>
      </c>
      <c r="Y26" s="177" t="s">
        <v>71</v>
      </c>
      <c r="Z26" s="178">
        <v>1</v>
      </c>
      <c r="AA26" s="62"/>
      <c r="AB26" s="31"/>
      <c r="AC26" s="51"/>
      <c r="AD26" s="48"/>
      <c r="AE26" s="31"/>
      <c r="AF26" s="51"/>
      <c r="AG26" s="64"/>
      <c r="AH26" s="31"/>
      <c r="AI26" s="45"/>
      <c r="AJ26" s="64"/>
      <c r="AK26" s="24"/>
      <c r="AL26" s="45"/>
      <c r="AM26" s="64"/>
      <c r="AN26" s="24"/>
      <c r="AO26" s="45"/>
      <c r="AP26" s="63"/>
      <c r="AQ26" s="28"/>
      <c r="AR26" s="51"/>
      <c r="AS26" s="40"/>
      <c r="AT26" s="31"/>
      <c r="AU26" s="51"/>
      <c r="AV26" s="64"/>
      <c r="AW26" s="32"/>
      <c r="AX26" s="45"/>
      <c r="AY26" s="64"/>
      <c r="AZ26" s="32"/>
      <c r="BA26" s="45"/>
      <c r="BB26" s="69"/>
      <c r="BC26" s="78"/>
      <c r="BD26" s="48"/>
      <c r="BE26" s="28">
        <v>50</v>
      </c>
      <c r="BF26" s="28">
        <v>60.3</v>
      </c>
      <c r="BG26" s="26">
        <v>40</v>
      </c>
      <c r="BH26" s="29" t="s">
        <v>45</v>
      </c>
      <c r="BI26" s="25">
        <f>(BG26*2)+BF26</f>
        <v>140.30000000000001</v>
      </c>
      <c r="BJ26" s="25">
        <f>BI26/1000*3.142*J26</f>
        <v>0.88164520000000002</v>
      </c>
      <c r="BK26" s="25">
        <f>BJ26+BJ26*10%</f>
        <v>0.96980971999999999</v>
      </c>
      <c r="BL26" s="25">
        <f>BK26*BG26/1000*160</f>
        <v>6.2067822079999999</v>
      </c>
      <c r="BM26" s="126">
        <f>BK26*2.7*0.511</f>
        <v>1.3380464706840001</v>
      </c>
    </row>
    <row r="27" spans="1:65" x14ac:dyDescent="0.3">
      <c r="A27" s="43"/>
      <c r="B27" s="28"/>
      <c r="C27" s="25"/>
      <c r="D27" s="23"/>
      <c r="E27" s="37" t="s">
        <v>69</v>
      </c>
      <c r="F27" s="42"/>
      <c r="G27" s="31"/>
      <c r="H27" s="26"/>
      <c r="I27" s="29"/>
      <c r="J27" s="180"/>
      <c r="K27" s="40"/>
      <c r="L27" s="31"/>
      <c r="M27" s="31"/>
      <c r="N27" s="31"/>
      <c r="O27" s="45"/>
      <c r="P27" s="40"/>
      <c r="Q27" s="31"/>
      <c r="R27" s="31"/>
      <c r="S27" s="45"/>
      <c r="T27" s="141">
        <v>50</v>
      </c>
      <c r="U27" s="117" t="s">
        <v>72</v>
      </c>
      <c r="V27" s="142">
        <v>1</v>
      </c>
      <c r="W27" s="55">
        <v>1</v>
      </c>
      <c r="X27" s="62"/>
      <c r="Y27" s="31"/>
      <c r="Z27" s="51"/>
      <c r="AA27" s="62"/>
      <c r="AB27" s="31"/>
      <c r="AC27" s="51"/>
      <c r="AD27" s="48"/>
      <c r="AE27" s="31"/>
      <c r="AF27" s="51"/>
      <c r="AG27" s="64"/>
      <c r="AH27" s="31"/>
      <c r="AI27" s="45"/>
      <c r="AJ27" s="64"/>
      <c r="AK27" s="24"/>
      <c r="AL27" s="45"/>
      <c r="AM27" s="64"/>
      <c r="AN27" s="24"/>
      <c r="AO27" s="45"/>
      <c r="AP27" s="63"/>
      <c r="AQ27" s="28"/>
      <c r="AR27" s="51"/>
      <c r="AS27" s="40"/>
      <c r="AT27" s="31"/>
      <c r="AU27" s="51"/>
      <c r="AV27" s="64"/>
      <c r="AW27" s="32"/>
      <c r="AX27" s="45"/>
      <c r="AY27" s="64"/>
      <c r="AZ27" s="32"/>
      <c r="BA27" s="45"/>
      <c r="BB27" s="69"/>
      <c r="BC27" s="78"/>
      <c r="BD27" s="48"/>
      <c r="BE27" s="24"/>
      <c r="BF27" s="24"/>
      <c r="BG27" s="21"/>
      <c r="BH27" s="34"/>
      <c r="BI27" s="31"/>
      <c r="BJ27" s="31"/>
      <c r="BK27" s="31"/>
      <c r="BL27" s="31"/>
      <c r="BM27" s="45"/>
    </row>
    <row r="28" spans="1:65" x14ac:dyDescent="0.3">
      <c r="A28" s="43"/>
      <c r="B28" s="28"/>
      <c r="C28" s="25"/>
      <c r="D28" s="23"/>
      <c r="E28" s="37"/>
      <c r="F28" s="42"/>
      <c r="G28" s="31"/>
      <c r="H28" s="26"/>
      <c r="I28" s="29"/>
      <c r="J28" s="180"/>
      <c r="K28" s="40"/>
      <c r="L28" s="31"/>
      <c r="M28" s="31"/>
      <c r="N28" s="31"/>
      <c r="O28" s="45"/>
      <c r="P28" s="40"/>
      <c r="Q28" s="31"/>
      <c r="R28" s="31"/>
      <c r="S28" s="45"/>
      <c r="T28" s="48"/>
      <c r="U28" s="31"/>
      <c r="V28" s="51"/>
      <c r="W28" s="55"/>
      <c r="X28" s="62"/>
      <c r="Y28" s="31"/>
      <c r="Z28" s="51"/>
      <c r="AA28" s="62"/>
      <c r="AB28" s="31"/>
      <c r="AC28" s="51"/>
      <c r="AD28" s="48"/>
      <c r="AE28" s="31"/>
      <c r="AF28" s="51"/>
      <c r="AG28" s="64"/>
      <c r="AH28" s="31"/>
      <c r="AI28" s="45"/>
      <c r="AJ28" s="64"/>
      <c r="AK28" s="24"/>
      <c r="AL28" s="45"/>
      <c r="AM28" s="64"/>
      <c r="AN28" s="24"/>
      <c r="AO28" s="45"/>
      <c r="AP28" s="63"/>
      <c r="AQ28" s="28"/>
      <c r="AR28" s="51"/>
      <c r="AS28" s="40"/>
      <c r="AT28" s="31"/>
      <c r="AU28" s="51"/>
      <c r="AV28" s="64"/>
      <c r="AW28" s="32"/>
      <c r="AX28" s="45"/>
      <c r="AY28" s="64"/>
      <c r="AZ28" s="32"/>
      <c r="BA28" s="45"/>
      <c r="BB28" s="69"/>
      <c r="BC28" s="78"/>
      <c r="BD28" s="48"/>
      <c r="BE28" s="24"/>
      <c r="BF28" s="24"/>
      <c r="BG28" s="21"/>
      <c r="BH28" s="34"/>
      <c r="BI28" s="31"/>
      <c r="BJ28" s="31"/>
      <c r="BK28" s="31"/>
      <c r="BL28" s="31"/>
      <c r="BM28" s="45"/>
    </row>
    <row r="29" spans="1:65" x14ac:dyDescent="0.3">
      <c r="A29" s="43">
        <v>8</v>
      </c>
      <c r="B29" s="28">
        <v>1008</v>
      </c>
      <c r="C29" s="25" t="s">
        <v>60</v>
      </c>
      <c r="D29" s="25" t="s">
        <v>61</v>
      </c>
      <c r="E29" s="72" t="s">
        <v>69</v>
      </c>
      <c r="F29" s="42">
        <v>50</v>
      </c>
      <c r="G29" s="31" t="s">
        <v>71</v>
      </c>
      <c r="H29" s="26">
        <v>40</v>
      </c>
      <c r="I29" s="29" t="s">
        <v>45</v>
      </c>
      <c r="J29" s="180">
        <v>2</v>
      </c>
      <c r="K29" s="40" t="s">
        <v>46</v>
      </c>
      <c r="L29" s="31" t="s">
        <v>74</v>
      </c>
      <c r="M29" s="31">
        <v>50</v>
      </c>
      <c r="N29" s="31" t="s">
        <v>72</v>
      </c>
      <c r="O29" s="45" t="s">
        <v>44</v>
      </c>
      <c r="P29" s="40"/>
      <c r="Q29" s="31"/>
      <c r="R29" s="31"/>
      <c r="S29" s="45"/>
      <c r="T29" s="136">
        <v>50</v>
      </c>
      <c r="U29" s="118" t="s">
        <v>72</v>
      </c>
      <c r="V29" s="137">
        <v>1</v>
      </c>
      <c r="W29" s="55">
        <v>1</v>
      </c>
      <c r="X29" s="62"/>
      <c r="Y29" s="31"/>
      <c r="Z29" s="51"/>
      <c r="AA29" s="185">
        <v>50</v>
      </c>
      <c r="AB29" s="117" t="s">
        <v>72</v>
      </c>
      <c r="AC29" s="142">
        <v>1</v>
      </c>
      <c r="AD29" s="48"/>
      <c r="AE29" s="31"/>
      <c r="AF29" s="51"/>
      <c r="AG29" s="64"/>
      <c r="AH29" s="31"/>
      <c r="AI29" s="45"/>
      <c r="AJ29" s="64"/>
      <c r="AK29" s="24"/>
      <c r="AL29" s="45"/>
      <c r="AM29" s="64"/>
      <c r="AN29" s="24"/>
      <c r="AO29" s="45"/>
      <c r="AP29" s="63"/>
      <c r="AQ29" s="28"/>
      <c r="AR29" s="51"/>
      <c r="AS29" s="40"/>
      <c r="AT29" s="31"/>
      <c r="AU29" s="51"/>
      <c r="AV29" s="64"/>
      <c r="AW29" s="32"/>
      <c r="AX29" s="45"/>
      <c r="AY29" s="64"/>
      <c r="AZ29" s="32"/>
      <c r="BA29" s="45"/>
      <c r="BB29" s="70"/>
      <c r="BC29" s="78"/>
      <c r="BD29" s="40"/>
      <c r="BE29" s="28">
        <v>50</v>
      </c>
      <c r="BF29" s="28">
        <v>60.3</v>
      </c>
      <c r="BG29" s="26">
        <v>40</v>
      </c>
      <c r="BH29" s="29" t="s">
        <v>45</v>
      </c>
      <c r="BI29" s="25">
        <f>(BG29*2)+BF29</f>
        <v>140.30000000000001</v>
      </c>
      <c r="BJ29" s="25">
        <f>BI29/1000*3.142*J29</f>
        <v>0.88164520000000002</v>
      </c>
      <c r="BK29" s="25">
        <f>BJ29+BJ29*10%</f>
        <v>0.96980971999999999</v>
      </c>
      <c r="BL29" s="25">
        <f>BK29*BG29/1000*160</f>
        <v>6.2067822079999999</v>
      </c>
      <c r="BM29" s="126">
        <f>BK29*2.7*0.511</f>
        <v>1.3380464706840001</v>
      </c>
    </row>
    <row r="30" spans="1:65" x14ac:dyDescent="0.3">
      <c r="A30" s="43"/>
      <c r="B30" s="28"/>
      <c r="C30" s="23"/>
      <c r="D30" s="25"/>
      <c r="E30" s="37" t="s">
        <v>69</v>
      </c>
      <c r="F30" s="42"/>
      <c r="G30" s="31"/>
      <c r="H30" s="26"/>
      <c r="I30" s="29"/>
      <c r="J30" s="180"/>
      <c r="K30" s="40"/>
      <c r="L30" s="31"/>
      <c r="M30" s="31"/>
      <c r="N30" s="31"/>
      <c r="O30" s="45"/>
      <c r="P30" s="40"/>
      <c r="Q30" s="31"/>
      <c r="R30" s="31"/>
      <c r="S30" s="45"/>
      <c r="T30" s="141">
        <v>50</v>
      </c>
      <c r="U30" s="117" t="s">
        <v>72</v>
      </c>
      <c r="V30" s="142">
        <v>1</v>
      </c>
      <c r="W30" s="55">
        <v>1</v>
      </c>
      <c r="X30" s="62"/>
      <c r="Y30" s="31"/>
      <c r="Z30" s="51"/>
      <c r="AA30" s="62"/>
      <c r="AB30" s="31"/>
      <c r="AC30" s="51"/>
      <c r="AD30" s="48"/>
      <c r="AE30" s="31"/>
      <c r="AF30" s="51"/>
      <c r="AG30" s="64"/>
      <c r="AH30" s="31"/>
      <c r="AI30" s="45"/>
      <c r="AJ30" s="64"/>
      <c r="AK30" s="24"/>
      <c r="AL30" s="45"/>
      <c r="AM30" s="64"/>
      <c r="AN30" s="24"/>
      <c r="AO30" s="45"/>
      <c r="AP30" s="63"/>
      <c r="AQ30" s="28"/>
      <c r="AR30" s="51"/>
      <c r="AS30" s="40"/>
      <c r="AT30" s="31"/>
      <c r="AU30" s="51"/>
      <c r="AV30" s="64"/>
      <c r="AW30" s="32"/>
      <c r="AX30" s="45"/>
      <c r="AY30" s="64"/>
      <c r="AZ30" s="32"/>
      <c r="BA30" s="45"/>
      <c r="BB30" s="69"/>
      <c r="BC30" s="78"/>
      <c r="BD30" s="40"/>
      <c r="BE30" s="24"/>
      <c r="BF30" s="24"/>
      <c r="BG30" s="21"/>
      <c r="BH30" s="34"/>
      <c r="BI30" s="33"/>
      <c r="BJ30" s="33"/>
      <c r="BK30" s="33"/>
      <c r="BL30" s="33"/>
      <c r="BM30" s="149"/>
    </row>
    <row r="31" spans="1:65" x14ac:dyDescent="0.3">
      <c r="A31" s="43"/>
      <c r="B31" s="28"/>
      <c r="C31" s="23"/>
      <c r="D31" s="25"/>
      <c r="E31" s="37" t="s">
        <v>69</v>
      </c>
      <c r="F31" s="42"/>
      <c r="G31" s="31"/>
      <c r="H31" s="26"/>
      <c r="I31" s="29"/>
      <c r="J31" s="180"/>
      <c r="K31" s="40"/>
      <c r="L31" s="31"/>
      <c r="M31" s="31"/>
      <c r="N31" s="31"/>
      <c r="O31" s="45"/>
      <c r="P31" s="40"/>
      <c r="Q31" s="31"/>
      <c r="R31" s="31"/>
      <c r="S31" s="45"/>
      <c r="T31" s="143">
        <v>50</v>
      </c>
      <c r="U31" s="119" t="s">
        <v>72</v>
      </c>
      <c r="V31" s="144">
        <v>2</v>
      </c>
      <c r="W31" s="55">
        <v>2</v>
      </c>
      <c r="X31" s="62"/>
      <c r="Y31" s="31"/>
      <c r="Z31" s="51"/>
      <c r="AA31" s="62"/>
      <c r="AB31" s="31"/>
      <c r="AC31" s="51"/>
      <c r="AD31" s="48"/>
      <c r="AE31" s="31"/>
      <c r="AF31" s="51"/>
      <c r="AG31" s="64"/>
      <c r="AH31" s="31"/>
      <c r="AI31" s="45"/>
      <c r="AJ31" s="64"/>
      <c r="AK31" s="24"/>
      <c r="AL31" s="45"/>
      <c r="AM31" s="64"/>
      <c r="AN31" s="24"/>
      <c r="AO31" s="45"/>
      <c r="AP31" s="63"/>
      <c r="AQ31" s="28"/>
      <c r="AR31" s="51"/>
      <c r="AS31" s="40"/>
      <c r="AT31" s="31"/>
      <c r="AU31" s="51"/>
      <c r="AV31" s="64"/>
      <c r="AW31" s="32"/>
      <c r="AX31" s="45"/>
      <c r="AY31" s="64"/>
      <c r="AZ31" s="32"/>
      <c r="BA31" s="45"/>
      <c r="BB31" s="69"/>
      <c r="BC31" s="78"/>
      <c r="BD31" s="40"/>
      <c r="BE31" s="24"/>
      <c r="BF31" s="24"/>
      <c r="BG31" s="21"/>
      <c r="BH31" s="34"/>
      <c r="BI31" s="33"/>
      <c r="BJ31" s="33"/>
      <c r="BK31" s="33"/>
      <c r="BL31" s="33"/>
      <c r="BM31" s="149"/>
    </row>
    <row r="32" spans="1:65" x14ac:dyDescent="0.3">
      <c r="A32" s="43"/>
      <c r="B32" s="28"/>
      <c r="C32" s="23"/>
      <c r="D32" s="25"/>
      <c r="E32" s="37"/>
      <c r="F32" s="42"/>
      <c r="G32" s="31"/>
      <c r="H32" s="26"/>
      <c r="I32" s="29"/>
      <c r="J32" s="180"/>
      <c r="K32" s="40"/>
      <c r="L32" s="31"/>
      <c r="M32" s="31"/>
      <c r="N32" s="31"/>
      <c r="O32" s="45"/>
      <c r="P32" s="40"/>
      <c r="Q32" s="31"/>
      <c r="R32" s="31"/>
      <c r="S32" s="45"/>
      <c r="T32" s="48"/>
      <c r="U32" s="31"/>
      <c r="V32" s="51"/>
      <c r="W32" s="55"/>
      <c r="X32" s="62"/>
      <c r="Y32" s="31"/>
      <c r="Z32" s="51"/>
      <c r="AA32" s="62"/>
      <c r="AB32" s="31"/>
      <c r="AC32" s="51"/>
      <c r="AD32" s="48"/>
      <c r="AE32" s="31"/>
      <c r="AF32" s="51"/>
      <c r="AG32" s="64"/>
      <c r="AH32" s="31"/>
      <c r="AI32" s="45"/>
      <c r="AJ32" s="64"/>
      <c r="AK32" s="24"/>
      <c r="AL32" s="45"/>
      <c r="AM32" s="64"/>
      <c r="AN32" s="24"/>
      <c r="AO32" s="45"/>
      <c r="AP32" s="63"/>
      <c r="AQ32" s="28"/>
      <c r="AR32" s="51"/>
      <c r="AS32" s="40"/>
      <c r="AT32" s="31"/>
      <c r="AU32" s="51"/>
      <c r="AV32" s="64"/>
      <c r="AW32" s="32"/>
      <c r="AX32" s="45"/>
      <c r="AY32" s="64"/>
      <c r="AZ32" s="32"/>
      <c r="BA32" s="45"/>
      <c r="BB32" s="69"/>
      <c r="BC32" s="78"/>
      <c r="BD32" s="40"/>
      <c r="BE32" s="24"/>
      <c r="BF32" s="24"/>
      <c r="BG32" s="21"/>
      <c r="BH32" s="34"/>
      <c r="BI32" s="33"/>
      <c r="BJ32" s="33"/>
      <c r="BK32" s="33"/>
      <c r="BL32" s="33"/>
      <c r="BM32" s="149"/>
    </row>
    <row r="33" spans="1:65" x14ac:dyDescent="0.3">
      <c r="A33" s="43">
        <v>9</v>
      </c>
      <c r="B33" s="28">
        <v>1009</v>
      </c>
      <c r="C33" s="25" t="s">
        <v>62</v>
      </c>
      <c r="D33" s="31" t="s">
        <v>63</v>
      </c>
      <c r="E33" s="73" t="s">
        <v>52</v>
      </c>
      <c r="F33" s="42">
        <v>40</v>
      </c>
      <c r="G33" s="31" t="s">
        <v>71</v>
      </c>
      <c r="H33" s="26">
        <v>40</v>
      </c>
      <c r="I33" s="29" t="s">
        <v>45</v>
      </c>
      <c r="J33" s="180">
        <v>3</v>
      </c>
      <c r="K33" s="40"/>
      <c r="L33" s="31"/>
      <c r="M33" s="31"/>
      <c r="N33" s="31"/>
      <c r="O33" s="45"/>
      <c r="P33" s="40"/>
      <c r="Q33" s="31"/>
      <c r="R33" s="31"/>
      <c r="S33" s="45"/>
      <c r="T33" s="141">
        <v>40</v>
      </c>
      <c r="U33" s="117" t="s">
        <v>72</v>
      </c>
      <c r="V33" s="142">
        <v>2</v>
      </c>
      <c r="W33" s="55">
        <v>2</v>
      </c>
      <c r="X33" s="62"/>
      <c r="Y33" s="31"/>
      <c r="Z33" s="51"/>
      <c r="AA33" s="185">
        <v>40</v>
      </c>
      <c r="AB33" s="117" t="s">
        <v>72</v>
      </c>
      <c r="AC33" s="142">
        <v>2</v>
      </c>
      <c r="AD33" s="48"/>
      <c r="AE33" s="31"/>
      <c r="AF33" s="51"/>
      <c r="AG33" s="64"/>
      <c r="AH33" s="31"/>
      <c r="AI33" s="45"/>
      <c r="AJ33" s="64"/>
      <c r="AK33" s="24"/>
      <c r="AL33" s="45"/>
      <c r="AM33" s="64"/>
      <c r="AN33" s="24"/>
      <c r="AO33" s="45"/>
      <c r="AP33" s="63"/>
      <c r="AQ33" s="28"/>
      <c r="AR33" s="51"/>
      <c r="AS33" s="40"/>
      <c r="AT33" s="31"/>
      <c r="AU33" s="51"/>
      <c r="AV33" s="64"/>
      <c r="AW33" s="32"/>
      <c r="AX33" s="45"/>
      <c r="AY33" s="64"/>
      <c r="AZ33" s="32"/>
      <c r="BA33" s="45"/>
      <c r="BB33" s="69"/>
      <c r="BC33" s="78"/>
      <c r="BD33" s="40"/>
      <c r="BE33" s="28">
        <v>40</v>
      </c>
      <c r="BF33" s="28">
        <v>48.3</v>
      </c>
      <c r="BG33" s="26">
        <v>40</v>
      </c>
      <c r="BH33" s="29" t="s">
        <v>45</v>
      </c>
      <c r="BI33" s="25">
        <f>(BG33*2)+BF33</f>
        <v>128.30000000000001</v>
      </c>
      <c r="BJ33" s="25">
        <f>BI33/1000*3.142*J33</f>
        <v>1.2093558000000002</v>
      </c>
      <c r="BK33" s="25">
        <f>BJ33+BJ33*10%</f>
        <v>1.3302913800000002</v>
      </c>
      <c r="BL33" s="25">
        <f>BK33*BG33/1000*160</f>
        <v>8.513864832000003</v>
      </c>
      <c r="BM33" s="126">
        <f>BK33*2.7*0.511</f>
        <v>1.8354030169860005</v>
      </c>
    </row>
    <row r="34" spans="1:65" x14ac:dyDescent="0.3">
      <c r="A34" s="43"/>
      <c r="B34" s="28"/>
      <c r="C34" s="25"/>
      <c r="D34" s="23"/>
      <c r="E34" s="37"/>
      <c r="F34" s="42"/>
      <c r="G34" s="31"/>
      <c r="H34" s="26"/>
      <c r="I34" s="29"/>
      <c r="J34" s="180"/>
      <c r="K34" s="40"/>
      <c r="L34" s="31"/>
      <c r="M34" s="31"/>
      <c r="N34" s="31"/>
      <c r="O34" s="45"/>
      <c r="P34" s="40"/>
      <c r="Q34" s="31"/>
      <c r="R34" s="31"/>
      <c r="S34" s="45"/>
      <c r="T34" s="48"/>
      <c r="U34" s="31"/>
      <c r="V34" s="51"/>
      <c r="W34" s="55"/>
      <c r="X34" s="62"/>
      <c r="Y34" s="31"/>
      <c r="Z34" s="51"/>
      <c r="AA34" s="62"/>
      <c r="AB34" s="31"/>
      <c r="AC34" s="51"/>
      <c r="AD34" s="48"/>
      <c r="AE34" s="31"/>
      <c r="AF34" s="51"/>
      <c r="AG34" s="64"/>
      <c r="AH34" s="31"/>
      <c r="AI34" s="45"/>
      <c r="AJ34" s="64"/>
      <c r="AK34" s="24"/>
      <c r="AL34" s="45"/>
      <c r="AM34" s="64"/>
      <c r="AN34" s="24"/>
      <c r="AO34" s="45"/>
      <c r="AP34" s="63"/>
      <c r="AQ34" s="28"/>
      <c r="AR34" s="51"/>
      <c r="AS34" s="40"/>
      <c r="AT34" s="31"/>
      <c r="AU34" s="51"/>
      <c r="AV34" s="64"/>
      <c r="AW34" s="32"/>
      <c r="AX34" s="45"/>
      <c r="AY34" s="64"/>
      <c r="AZ34" s="32"/>
      <c r="BA34" s="45"/>
      <c r="BB34" s="69"/>
      <c r="BC34" s="78"/>
      <c r="BD34" s="48"/>
      <c r="BE34" s="24"/>
      <c r="BF34" s="24"/>
      <c r="BG34" s="21"/>
      <c r="BH34" s="34"/>
      <c r="BI34" s="31"/>
      <c r="BJ34" s="31"/>
      <c r="BK34" s="31"/>
      <c r="BL34" s="31"/>
      <c r="BM34" s="45"/>
    </row>
    <row r="35" spans="1:65" x14ac:dyDescent="0.3">
      <c r="A35" s="43">
        <v>10</v>
      </c>
      <c r="B35" s="28">
        <v>1010</v>
      </c>
      <c r="C35" s="25" t="s">
        <v>60</v>
      </c>
      <c r="D35" s="25" t="s">
        <v>62</v>
      </c>
      <c r="E35" s="73" t="s">
        <v>52</v>
      </c>
      <c r="F35" s="42">
        <v>15</v>
      </c>
      <c r="G35" s="31" t="s">
        <v>72</v>
      </c>
      <c r="H35" s="26">
        <v>25</v>
      </c>
      <c r="I35" s="29" t="s">
        <v>45</v>
      </c>
      <c r="J35" s="180">
        <v>2</v>
      </c>
      <c r="K35" s="40" t="s">
        <v>46</v>
      </c>
      <c r="L35" s="31" t="s">
        <v>47</v>
      </c>
      <c r="M35" s="31">
        <v>15</v>
      </c>
      <c r="N35" s="31" t="s">
        <v>72</v>
      </c>
      <c r="O35" s="45" t="s">
        <v>44</v>
      </c>
      <c r="P35" s="40"/>
      <c r="Q35" s="31"/>
      <c r="R35" s="31"/>
      <c r="S35" s="45"/>
      <c r="T35" s="143">
        <v>15</v>
      </c>
      <c r="U35" s="119" t="s">
        <v>72</v>
      </c>
      <c r="V35" s="144">
        <v>2</v>
      </c>
      <c r="W35" s="81">
        <v>1</v>
      </c>
      <c r="X35" s="176">
        <v>15</v>
      </c>
      <c r="Y35" s="177" t="s">
        <v>72</v>
      </c>
      <c r="Z35" s="178">
        <v>3</v>
      </c>
      <c r="AA35" s="62"/>
      <c r="AB35" s="31"/>
      <c r="AC35" s="51"/>
      <c r="AD35" s="48"/>
      <c r="AE35" s="31"/>
      <c r="AF35" s="51"/>
      <c r="AG35" s="64"/>
      <c r="AH35" s="31"/>
      <c r="AI35" s="45"/>
      <c r="AJ35" s="64"/>
      <c r="AK35" s="24"/>
      <c r="AL35" s="45"/>
      <c r="AM35" s="64"/>
      <c r="AN35" s="24"/>
      <c r="AO35" s="45"/>
      <c r="AP35" s="63" t="s">
        <v>127</v>
      </c>
      <c r="AQ35" s="28">
        <v>15</v>
      </c>
      <c r="AR35" s="51">
        <v>1</v>
      </c>
      <c r="AS35" s="69" t="s">
        <v>79</v>
      </c>
      <c r="AT35" s="28">
        <v>15</v>
      </c>
      <c r="AU35" s="51">
        <v>1</v>
      </c>
      <c r="AV35" s="64"/>
      <c r="AW35" s="32"/>
      <c r="AX35" s="45"/>
      <c r="AY35" s="64" t="s">
        <v>85</v>
      </c>
      <c r="AZ35" s="32" t="s">
        <v>72</v>
      </c>
      <c r="BA35" s="45">
        <v>2</v>
      </c>
      <c r="BB35" s="69"/>
      <c r="BC35" s="78"/>
      <c r="BD35" s="48"/>
      <c r="BE35" s="28">
        <v>15</v>
      </c>
      <c r="BF35" s="28">
        <v>21.3</v>
      </c>
      <c r="BG35" s="26">
        <v>25</v>
      </c>
      <c r="BH35" s="29" t="s">
        <v>45</v>
      </c>
      <c r="BI35" s="25">
        <f>(BG35*2)+BF35</f>
        <v>71.3</v>
      </c>
      <c r="BJ35" s="25">
        <f>BI35/1000*3.142*J35</f>
        <v>0.44804919999999998</v>
      </c>
      <c r="BK35" s="25">
        <f>BJ35+BJ35*10%</f>
        <v>0.49285411999999995</v>
      </c>
      <c r="BL35" s="25">
        <f>BK35*BG35/1000*160</f>
        <v>1.9714164799999998</v>
      </c>
      <c r="BM35" s="126">
        <f>BK35*2.7*0.511</f>
        <v>0.67999082936400002</v>
      </c>
    </row>
    <row r="36" spans="1:65" x14ac:dyDescent="0.3">
      <c r="A36" s="43"/>
      <c r="B36" s="28"/>
      <c r="C36" s="25"/>
      <c r="D36" s="23"/>
      <c r="E36" s="37" t="s">
        <v>52</v>
      </c>
      <c r="F36" s="42"/>
      <c r="G36" s="31"/>
      <c r="H36" s="26"/>
      <c r="I36" s="29"/>
      <c r="J36" s="180"/>
      <c r="K36" s="40" t="s">
        <v>56</v>
      </c>
      <c r="L36" s="31" t="s">
        <v>47</v>
      </c>
      <c r="M36" s="31">
        <v>15</v>
      </c>
      <c r="N36" s="31" t="s">
        <v>72</v>
      </c>
      <c r="O36" s="45" t="s">
        <v>44</v>
      </c>
      <c r="P36" s="40"/>
      <c r="Q36" s="31"/>
      <c r="R36" s="31"/>
      <c r="S36" s="45"/>
      <c r="T36" s="141">
        <v>15</v>
      </c>
      <c r="U36" s="117" t="s">
        <v>72</v>
      </c>
      <c r="V36" s="142">
        <v>4</v>
      </c>
      <c r="W36" s="55">
        <v>2</v>
      </c>
      <c r="X36" s="123">
        <v>15</v>
      </c>
      <c r="Y36" s="124" t="s">
        <v>72</v>
      </c>
      <c r="Z36" s="125">
        <v>1</v>
      </c>
      <c r="AA36" s="62"/>
      <c r="AB36" s="31"/>
      <c r="AC36" s="51"/>
      <c r="AD36" s="48"/>
      <c r="AE36" s="31"/>
      <c r="AF36" s="51"/>
      <c r="AG36" s="64"/>
      <c r="AH36" s="31"/>
      <c r="AI36" s="45"/>
      <c r="AJ36" s="64"/>
      <c r="AK36" s="24"/>
      <c r="AL36" s="45"/>
      <c r="AM36" s="64"/>
      <c r="AN36" s="24"/>
      <c r="AO36" s="45"/>
      <c r="AP36" s="63"/>
      <c r="AQ36" s="28"/>
      <c r="AR36" s="51"/>
      <c r="AS36" s="40"/>
      <c r="AT36" s="31"/>
      <c r="AU36" s="51"/>
      <c r="AV36" s="64"/>
      <c r="AW36" s="32"/>
      <c r="AX36" s="45"/>
      <c r="AY36" s="64"/>
      <c r="AZ36" s="32"/>
      <c r="BA36" s="45"/>
      <c r="BB36" s="69"/>
      <c r="BC36" s="78"/>
      <c r="BD36" s="48"/>
      <c r="BE36" s="24"/>
      <c r="BF36" s="24"/>
      <c r="BG36" s="21"/>
      <c r="BH36" s="34"/>
      <c r="BI36" s="31"/>
      <c r="BJ36" s="31"/>
      <c r="BK36" s="31"/>
      <c r="BL36" s="31"/>
      <c r="BM36" s="45"/>
    </row>
    <row r="37" spans="1:65" x14ac:dyDescent="0.3">
      <c r="A37" s="43"/>
      <c r="B37" s="28"/>
      <c r="C37" s="25"/>
      <c r="D37" s="23"/>
      <c r="E37" s="37" t="s">
        <v>52</v>
      </c>
      <c r="F37" s="42"/>
      <c r="G37" s="31"/>
      <c r="H37" s="26"/>
      <c r="I37" s="29"/>
      <c r="J37" s="180"/>
      <c r="K37" s="40" t="s">
        <v>58</v>
      </c>
      <c r="L37" s="31" t="s">
        <v>47</v>
      </c>
      <c r="M37" s="31">
        <v>15</v>
      </c>
      <c r="N37" s="31" t="s">
        <v>72</v>
      </c>
      <c r="O37" s="45" t="s">
        <v>44</v>
      </c>
      <c r="P37" s="40"/>
      <c r="Q37" s="31"/>
      <c r="R37" s="31"/>
      <c r="S37" s="45"/>
      <c r="T37" s="48"/>
      <c r="U37" s="31"/>
      <c r="V37" s="51"/>
      <c r="W37" s="55"/>
      <c r="X37" s="62"/>
      <c r="Y37" s="31"/>
      <c r="Z37" s="51"/>
      <c r="AA37" s="62"/>
      <c r="AB37" s="31"/>
      <c r="AC37" s="51"/>
      <c r="AD37" s="48"/>
      <c r="AE37" s="31"/>
      <c r="AF37" s="51"/>
      <c r="AG37" s="64"/>
      <c r="AH37" s="31"/>
      <c r="AI37" s="45"/>
      <c r="AJ37" s="64"/>
      <c r="AK37" s="24"/>
      <c r="AL37" s="45"/>
      <c r="AM37" s="64"/>
      <c r="AN37" s="24"/>
      <c r="AO37" s="45"/>
      <c r="AP37" s="63"/>
      <c r="AQ37" s="28"/>
      <c r="AR37" s="51"/>
      <c r="AS37" s="40"/>
      <c r="AT37" s="31"/>
      <c r="AU37" s="51"/>
      <c r="AV37" s="64"/>
      <c r="AW37" s="32"/>
      <c r="AX37" s="45"/>
      <c r="AY37" s="64"/>
      <c r="AZ37" s="32"/>
      <c r="BA37" s="45"/>
      <c r="BB37" s="69"/>
      <c r="BC37" s="78"/>
      <c r="BD37" s="48"/>
      <c r="BE37" s="24"/>
      <c r="BF37" s="24"/>
      <c r="BG37" s="21"/>
      <c r="BH37" s="34"/>
      <c r="BI37" s="31"/>
      <c r="BJ37" s="31"/>
      <c r="BK37" s="31"/>
      <c r="BL37" s="31"/>
      <c r="BM37" s="45"/>
    </row>
    <row r="38" spans="1:65" x14ac:dyDescent="0.3">
      <c r="A38" s="43"/>
      <c r="B38" s="28"/>
      <c r="C38" s="25"/>
      <c r="D38" s="23"/>
      <c r="E38" s="37" t="s">
        <v>52</v>
      </c>
      <c r="F38" s="42"/>
      <c r="G38" s="31"/>
      <c r="H38" s="26"/>
      <c r="I38" s="29"/>
      <c r="J38" s="180"/>
      <c r="K38" s="40" t="s">
        <v>66</v>
      </c>
      <c r="L38" s="31" t="s">
        <v>55</v>
      </c>
      <c r="M38" s="31">
        <v>15</v>
      </c>
      <c r="N38" s="31" t="s">
        <v>44</v>
      </c>
      <c r="O38" s="45" t="s">
        <v>44</v>
      </c>
      <c r="P38" s="40"/>
      <c r="Q38" s="31"/>
      <c r="R38" s="31"/>
      <c r="S38" s="45"/>
      <c r="T38" s="48"/>
      <c r="U38" s="31"/>
      <c r="V38" s="51"/>
      <c r="W38" s="55"/>
      <c r="X38" s="62"/>
      <c r="Y38" s="31"/>
      <c r="Z38" s="51"/>
      <c r="AA38" s="62"/>
      <c r="AB38" s="31"/>
      <c r="AC38" s="51"/>
      <c r="AD38" s="48"/>
      <c r="AE38" s="31"/>
      <c r="AF38" s="51"/>
      <c r="AG38" s="64"/>
      <c r="AH38" s="31"/>
      <c r="AI38" s="45"/>
      <c r="AJ38" s="64"/>
      <c r="AK38" s="24"/>
      <c r="AL38" s="45"/>
      <c r="AM38" s="64"/>
      <c r="AN38" s="24"/>
      <c r="AO38" s="45"/>
      <c r="AP38" s="63"/>
      <c r="AQ38" s="28"/>
      <c r="AR38" s="51"/>
      <c r="AS38" s="40"/>
      <c r="AT38" s="31"/>
      <c r="AU38" s="51"/>
      <c r="AV38" s="64"/>
      <c r="AW38" s="32"/>
      <c r="AX38" s="45"/>
      <c r="AY38" s="64"/>
      <c r="AZ38" s="32"/>
      <c r="BA38" s="45"/>
      <c r="BB38" s="69"/>
      <c r="BC38" s="78"/>
      <c r="BD38" s="48"/>
      <c r="BE38" s="24"/>
      <c r="BF38" s="24"/>
      <c r="BG38" s="21"/>
      <c r="BH38" s="34"/>
      <c r="BI38" s="31"/>
      <c r="BJ38" s="31"/>
      <c r="BK38" s="31"/>
      <c r="BL38" s="31"/>
      <c r="BM38" s="45"/>
    </row>
    <row r="39" spans="1:65" x14ac:dyDescent="0.3">
      <c r="A39" s="43"/>
      <c r="B39" s="28"/>
      <c r="C39" s="25"/>
      <c r="D39" s="25"/>
      <c r="E39" s="37"/>
      <c r="F39" s="42"/>
      <c r="G39" s="31"/>
      <c r="H39" s="26"/>
      <c r="I39" s="29"/>
      <c r="J39" s="180"/>
      <c r="K39" s="40"/>
      <c r="L39" s="31"/>
      <c r="M39" s="31"/>
      <c r="N39" s="31"/>
      <c r="O39" s="45"/>
      <c r="P39" s="40"/>
      <c r="Q39" s="31"/>
      <c r="R39" s="31"/>
      <c r="S39" s="45"/>
      <c r="T39" s="48"/>
      <c r="U39" s="31"/>
      <c r="V39" s="51"/>
      <c r="W39" s="55"/>
      <c r="X39" s="62"/>
      <c r="Y39" s="31"/>
      <c r="Z39" s="51"/>
      <c r="AA39" s="62"/>
      <c r="AB39" s="31"/>
      <c r="AC39" s="51"/>
      <c r="AD39" s="48"/>
      <c r="AE39" s="31"/>
      <c r="AF39" s="51"/>
      <c r="AG39" s="64"/>
      <c r="AH39" s="31"/>
      <c r="AI39" s="45"/>
      <c r="AJ39" s="64"/>
      <c r="AK39" s="24"/>
      <c r="AL39" s="45"/>
      <c r="AM39" s="64"/>
      <c r="AN39" s="24"/>
      <c r="AO39" s="45"/>
      <c r="AP39" s="63"/>
      <c r="AQ39" s="28"/>
      <c r="AR39" s="51"/>
      <c r="AS39" s="40"/>
      <c r="AT39" s="31"/>
      <c r="AU39" s="51"/>
      <c r="AV39" s="64"/>
      <c r="AW39" s="32"/>
      <c r="AX39" s="45"/>
      <c r="AY39" s="64"/>
      <c r="AZ39" s="32"/>
      <c r="BA39" s="45"/>
      <c r="BB39" s="69"/>
      <c r="BC39" s="78"/>
      <c r="BD39" s="40"/>
      <c r="BE39" s="24"/>
      <c r="BF39" s="24"/>
      <c r="BG39" s="21"/>
      <c r="BH39" s="34"/>
      <c r="BI39" s="33"/>
      <c r="BJ39" s="33"/>
      <c r="BK39" s="33"/>
      <c r="BL39" s="33"/>
      <c r="BM39" s="149"/>
    </row>
    <row r="40" spans="1:65" x14ac:dyDescent="0.3">
      <c r="A40" s="43">
        <v>11</v>
      </c>
      <c r="B40" s="28">
        <v>1011</v>
      </c>
      <c r="C40" s="25" t="s">
        <v>61</v>
      </c>
      <c r="D40" s="25" t="s">
        <v>43</v>
      </c>
      <c r="E40" s="72" t="s">
        <v>69</v>
      </c>
      <c r="F40" s="42">
        <v>25</v>
      </c>
      <c r="G40" s="31" t="s">
        <v>71</v>
      </c>
      <c r="H40" s="26">
        <v>40</v>
      </c>
      <c r="I40" s="29" t="s">
        <v>45</v>
      </c>
      <c r="J40" s="180">
        <v>4</v>
      </c>
      <c r="K40" s="40" t="s">
        <v>46</v>
      </c>
      <c r="L40" s="31" t="s">
        <v>73</v>
      </c>
      <c r="M40" s="31">
        <v>25</v>
      </c>
      <c r="N40" s="31" t="s">
        <v>72</v>
      </c>
      <c r="O40" s="45" t="s">
        <v>44</v>
      </c>
      <c r="P40" s="40"/>
      <c r="Q40" s="31"/>
      <c r="R40" s="31"/>
      <c r="S40" s="45"/>
      <c r="T40" s="143">
        <v>25</v>
      </c>
      <c r="U40" s="119" t="s">
        <v>72</v>
      </c>
      <c r="V40" s="144">
        <v>2</v>
      </c>
      <c r="W40" s="55">
        <v>2</v>
      </c>
      <c r="X40" s="176">
        <v>25</v>
      </c>
      <c r="Y40" s="177" t="s">
        <v>71</v>
      </c>
      <c r="Z40" s="178">
        <v>2</v>
      </c>
      <c r="AA40" s="62"/>
      <c r="AB40" s="31"/>
      <c r="AC40" s="51"/>
      <c r="AD40" s="48"/>
      <c r="AE40" s="31"/>
      <c r="AF40" s="51"/>
      <c r="AG40" s="64"/>
      <c r="AH40" s="31"/>
      <c r="AI40" s="45"/>
      <c r="AJ40" s="64"/>
      <c r="AK40" s="24"/>
      <c r="AL40" s="45"/>
      <c r="AM40" s="64"/>
      <c r="AN40" s="24"/>
      <c r="AO40" s="45"/>
      <c r="AP40" s="63"/>
      <c r="AQ40" s="28"/>
      <c r="AR40" s="51"/>
      <c r="AS40" s="40"/>
      <c r="AT40" s="31"/>
      <c r="AU40" s="51"/>
      <c r="AV40" s="64"/>
      <c r="AW40" s="32"/>
      <c r="AX40" s="45"/>
      <c r="AY40" s="64"/>
      <c r="AZ40" s="32"/>
      <c r="BA40" s="45"/>
      <c r="BB40" s="69"/>
      <c r="BC40" s="78"/>
      <c r="BD40" s="40"/>
      <c r="BE40" s="28">
        <v>25</v>
      </c>
      <c r="BF40" s="28">
        <v>33.4</v>
      </c>
      <c r="BG40" s="26">
        <v>40</v>
      </c>
      <c r="BH40" s="29" t="s">
        <v>45</v>
      </c>
      <c r="BI40" s="25">
        <f>(BG40*2)+BF40</f>
        <v>113.4</v>
      </c>
      <c r="BJ40" s="25">
        <f>BI40/1000*3.142*J40</f>
        <v>1.4252111999999999</v>
      </c>
      <c r="BK40" s="25">
        <f>BJ40+BJ40*10%</f>
        <v>1.56773232</v>
      </c>
      <c r="BL40" s="25">
        <f>BK40*BG40/1000*160</f>
        <v>10.033486847999999</v>
      </c>
      <c r="BM40" s="126">
        <f>BK40*2.7*0.511</f>
        <v>2.163000281904</v>
      </c>
    </row>
    <row r="41" spans="1:65" x14ac:dyDescent="0.3">
      <c r="A41" s="43"/>
      <c r="B41" s="28"/>
      <c r="C41" s="23"/>
      <c r="D41" s="25"/>
      <c r="E41" s="37" t="s">
        <v>69</v>
      </c>
      <c r="F41" s="42"/>
      <c r="G41" s="31"/>
      <c r="H41" s="26"/>
      <c r="I41" s="29"/>
      <c r="J41" s="180"/>
      <c r="K41" s="40"/>
      <c r="L41" s="31"/>
      <c r="M41" s="31"/>
      <c r="N41" s="31"/>
      <c r="O41" s="45"/>
      <c r="P41" s="40"/>
      <c r="Q41" s="31"/>
      <c r="R41" s="31"/>
      <c r="S41" s="45"/>
      <c r="T41" s="136">
        <v>25</v>
      </c>
      <c r="U41" s="118" t="s">
        <v>72</v>
      </c>
      <c r="V41" s="137">
        <v>1</v>
      </c>
      <c r="W41" s="55">
        <v>1</v>
      </c>
      <c r="X41" s="186">
        <v>25</v>
      </c>
      <c r="Y41" s="187" t="s">
        <v>71</v>
      </c>
      <c r="Z41" s="188">
        <v>1</v>
      </c>
      <c r="AA41" s="62"/>
      <c r="AB41" s="31"/>
      <c r="AC41" s="51"/>
      <c r="AD41" s="48"/>
      <c r="AE41" s="31"/>
      <c r="AF41" s="51"/>
      <c r="AG41" s="64"/>
      <c r="AH41" s="31"/>
      <c r="AI41" s="45"/>
      <c r="AJ41" s="64"/>
      <c r="AK41" s="24"/>
      <c r="AL41" s="45"/>
      <c r="AM41" s="64"/>
      <c r="AN41" s="24"/>
      <c r="AO41" s="45"/>
      <c r="AP41" s="63"/>
      <c r="AQ41" s="28"/>
      <c r="AR41" s="51"/>
      <c r="AS41" s="40"/>
      <c r="AT41" s="31"/>
      <c r="AU41" s="51"/>
      <c r="AV41" s="64"/>
      <c r="AW41" s="32"/>
      <c r="AX41" s="45"/>
      <c r="AY41" s="64"/>
      <c r="AZ41" s="32"/>
      <c r="BA41" s="45"/>
      <c r="BB41" s="69"/>
      <c r="BC41" s="78"/>
      <c r="BD41" s="40"/>
      <c r="BE41" s="24"/>
      <c r="BF41" s="24"/>
      <c r="BG41" s="21"/>
      <c r="BH41" s="34"/>
      <c r="BI41" s="33"/>
      <c r="BJ41" s="33"/>
      <c r="BK41" s="33"/>
      <c r="BL41" s="33"/>
      <c r="BM41" s="149"/>
    </row>
    <row r="42" spans="1:65" x14ac:dyDescent="0.3">
      <c r="A42" s="43"/>
      <c r="B42" s="28"/>
      <c r="C42" s="25"/>
      <c r="D42" s="25"/>
      <c r="E42" s="37"/>
      <c r="F42" s="42"/>
      <c r="G42" s="31"/>
      <c r="H42" s="26"/>
      <c r="I42" s="29"/>
      <c r="J42" s="180"/>
      <c r="K42" s="40"/>
      <c r="L42" s="31"/>
      <c r="M42" s="31"/>
      <c r="N42" s="31"/>
      <c r="O42" s="45"/>
      <c r="P42" s="40"/>
      <c r="Q42" s="31"/>
      <c r="R42" s="31"/>
      <c r="S42" s="45"/>
      <c r="T42" s="48"/>
      <c r="U42" s="31"/>
      <c r="V42" s="51"/>
      <c r="W42" s="55"/>
      <c r="X42" s="62"/>
      <c r="Y42" s="31"/>
      <c r="Z42" s="51"/>
      <c r="AA42" s="62"/>
      <c r="AB42" s="31"/>
      <c r="AC42" s="51"/>
      <c r="AD42" s="48"/>
      <c r="AE42" s="31"/>
      <c r="AF42" s="51"/>
      <c r="AG42" s="64"/>
      <c r="AH42" s="31"/>
      <c r="AI42" s="45"/>
      <c r="AJ42" s="64"/>
      <c r="AK42" s="24"/>
      <c r="AL42" s="45"/>
      <c r="AM42" s="64"/>
      <c r="AN42" s="24"/>
      <c r="AO42" s="45"/>
      <c r="AP42" s="63"/>
      <c r="AQ42" s="28"/>
      <c r="AR42" s="51"/>
      <c r="AS42" s="40"/>
      <c r="AT42" s="31"/>
      <c r="AU42" s="51"/>
      <c r="AV42" s="64"/>
      <c r="AW42" s="32"/>
      <c r="AX42" s="45"/>
      <c r="AY42" s="64"/>
      <c r="AZ42" s="32"/>
      <c r="BA42" s="45"/>
      <c r="BB42" s="69"/>
      <c r="BC42" s="78"/>
      <c r="BD42" s="40"/>
      <c r="BE42" s="24"/>
      <c r="BF42" s="24"/>
      <c r="BG42" s="21"/>
      <c r="BH42" s="34"/>
      <c r="BI42" s="33"/>
      <c r="BJ42" s="33"/>
      <c r="BK42" s="33"/>
      <c r="BL42" s="33"/>
      <c r="BM42" s="149"/>
    </row>
    <row r="43" spans="1:65" x14ac:dyDescent="0.3">
      <c r="A43" s="43">
        <v>12</v>
      </c>
      <c r="B43" s="28">
        <v>1012</v>
      </c>
      <c r="C43" s="25" t="s">
        <v>61</v>
      </c>
      <c r="D43" s="25" t="s">
        <v>43</v>
      </c>
      <c r="E43" s="72" t="s">
        <v>69</v>
      </c>
      <c r="F43" s="42">
        <v>40</v>
      </c>
      <c r="G43" s="31" t="s">
        <v>71</v>
      </c>
      <c r="H43" s="26">
        <v>40</v>
      </c>
      <c r="I43" s="29" t="s">
        <v>45</v>
      </c>
      <c r="J43" s="180">
        <v>5</v>
      </c>
      <c r="K43" s="40" t="s">
        <v>46</v>
      </c>
      <c r="L43" s="31" t="s">
        <v>73</v>
      </c>
      <c r="M43" s="31">
        <v>40</v>
      </c>
      <c r="N43" s="31" t="s">
        <v>72</v>
      </c>
      <c r="O43" s="45" t="s">
        <v>44</v>
      </c>
      <c r="P43" s="40" t="s">
        <v>51</v>
      </c>
      <c r="Q43" s="31" t="s">
        <v>52</v>
      </c>
      <c r="R43" s="31" t="s">
        <v>77</v>
      </c>
      <c r="S43" s="45" t="s">
        <v>71</v>
      </c>
      <c r="T43" s="143">
        <v>40</v>
      </c>
      <c r="U43" s="119" t="s">
        <v>72</v>
      </c>
      <c r="V43" s="144">
        <v>2</v>
      </c>
      <c r="W43" s="55">
        <v>2</v>
      </c>
      <c r="X43" s="176">
        <v>40</v>
      </c>
      <c r="Y43" s="177" t="s">
        <v>71</v>
      </c>
      <c r="Z43" s="178">
        <v>2</v>
      </c>
      <c r="AA43" s="62"/>
      <c r="AB43" s="31"/>
      <c r="AC43" s="51"/>
      <c r="AD43" s="48"/>
      <c r="AE43" s="31"/>
      <c r="AF43" s="51"/>
      <c r="AG43" s="64"/>
      <c r="AH43" s="31"/>
      <c r="AI43" s="45"/>
      <c r="AJ43" s="64"/>
      <c r="AK43" s="24"/>
      <c r="AL43" s="45"/>
      <c r="AM43" s="64"/>
      <c r="AN43" s="24"/>
      <c r="AO43" s="45"/>
      <c r="AP43" s="63"/>
      <c r="AQ43" s="28"/>
      <c r="AR43" s="51"/>
      <c r="AS43" s="40"/>
      <c r="AT43" s="31"/>
      <c r="AU43" s="51"/>
      <c r="AV43" s="64"/>
      <c r="AW43" s="32"/>
      <c r="AX43" s="45"/>
      <c r="AY43" s="64"/>
      <c r="AZ43" s="32"/>
      <c r="BA43" s="45"/>
      <c r="BB43" s="69"/>
      <c r="BC43" s="78"/>
      <c r="BD43" s="40"/>
      <c r="BE43" s="28">
        <v>40</v>
      </c>
      <c r="BF43" s="28">
        <v>48.3</v>
      </c>
      <c r="BG43" s="26">
        <v>40</v>
      </c>
      <c r="BH43" s="29" t="s">
        <v>45</v>
      </c>
      <c r="BI43" s="25">
        <f>(BG43*2)+BF43</f>
        <v>128.30000000000001</v>
      </c>
      <c r="BJ43" s="25">
        <f>BI43/1000*3.142*J43</f>
        <v>2.0155930000000004</v>
      </c>
      <c r="BK43" s="25">
        <f>BJ43+BJ43*10%</f>
        <v>2.2171523000000004</v>
      </c>
      <c r="BL43" s="25">
        <f>BK43*BG43/1000*160</f>
        <v>14.189774720000003</v>
      </c>
      <c r="BM43" s="126">
        <f>BK43*2.7*0.511</f>
        <v>3.0590050283100005</v>
      </c>
    </row>
    <row r="44" spans="1:65" x14ac:dyDescent="0.3">
      <c r="A44" s="43"/>
      <c r="B44" s="28"/>
      <c r="C44" s="25"/>
      <c r="D44" s="25"/>
      <c r="E44" s="37" t="s">
        <v>69</v>
      </c>
      <c r="F44" s="42"/>
      <c r="G44" s="31"/>
      <c r="H44" s="26"/>
      <c r="I44" s="29"/>
      <c r="J44" s="180"/>
      <c r="K44" s="40"/>
      <c r="L44" s="31"/>
      <c r="M44" s="31"/>
      <c r="N44" s="31"/>
      <c r="O44" s="45"/>
      <c r="P44" s="40"/>
      <c r="Q44" s="31"/>
      <c r="R44" s="31"/>
      <c r="S44" s="45"/>
      <c r="T44" s="136">
        <v>50</v>
      </c>
      <c r="U44" s="118" t="s">
        <v>72</v>
      </c>
      <c r="V44" s="137">
        <v>1</v>
      </c>
      <c r="W44" s="55">
        <v>1</v>
      </c>
      <c r="X44" s="186">
        <v>40</v>
      </c>
      <c r="Y44" s="187" t="s">
        <v>71</v>
      </c>
      <c r="Z44" s="188">
        <v>1</v>
      </c>
      <c r="AA44" s="62"/>
      <c r="AB44" s="31"/>
      <c r="AC44" s="51"/>
      <c r="AD44" s="48"/>
      <c r="AE44" s="31"/>
      <c r="AF44" s="51"/>
      <c r="AG44" s="64"/>
      <c r="AH44" s="31"/>
      <c r="AI44" s="45"/>
      <c r="AJ44" s="64"/>
      <c r="AK44" s="24"/>
      <c r="AL44" s="45"/>
      <c r="AM44" s="64"/>
      <c r="AN44" s="24"/>
      <c r="AO44" s="45"/>
      <c r="AP44" s="63"/>
      <c r="AQ44" s="28"/>
      <c r="AR44" s="51"/>
      <c r="AS44" s="40"/>
      <c r="AT44" s="31"/>
      <c r="AU44" s="51"/>
      <c r="AV44" s="64"/>
      <c r="AW44" s="32"/>
      <c r="AX44" s="45"/>
      <c r="AY44" s="64"/>
      <c r="AZ44" s="32"/>
      <c r="BA44" s="45"/>
      <c r="BB44" s="69"/>
      <c r="BC44" s="78"/>
      <c r="BD44" s="40"/>
      <c r="BE44" s="24"/>
      <c r="BF44" s="24"/>
      <c r="BG44" s="21"/>
      <c r="BH44" s="34"/>
      <c r="BI44" s="33"/>
      <c r="BJ44" s="33"/>
      <c r="BK44" s="33"/>
      <c r="BL44" s="33"/>
      <c r="BM44" s="149"/>
    </row>
    <row r="45" spans="1:65" x14ac:dyDescent="0.3">
      <c r="A45" s="43"/>
      <c r="B45" s="28"/>
      <c r="C45" s="25"/>
      <c r="D45" s="25"/>
      <c r="E45" s="37"/>
      <c r="F45" s="42"/>
      <c r="G45" s="31"/>
      <c r="H45" s="26"/>
      <c r="I45" s="29"/>
      <c r="J45" s="180"/>
      <c r="K45" s="40"/>
      <c r="L45" s="31"/>
      <c r="M45" s="31"/>
      <c r="N45" s="31"/>
      <c r="O45" s="45"/>
      <c r="P45" s="40"/>
      <c r="Q45" s="31"/>
      <c r="R45" s="31"/>
      <c r="S45" s="45"/>
      <c r="T45" s="48"/>
      <c r="U45" s="31"/>
      <c r="V45" s="51"/>
      <c r="W45" s="55"/>
      <c r="X45" s="62"/>
      <c r="Y45" s="31"/>
      <c r="Z45" s="51"/>
      <c r="AA45" s="62"/>
      <c r="AB45" s="31"/>
      <c r="AC45" s="51"/>
      <c r="AD45" s="48"/>
      <c r="AE45" s="31"/>
      <c r="AF45" s="51"/>
      <c r="AG45" s="64"/>
      <c r="AH45" s="31"/>
      <c r="AI45" s="45"/>
      <c r="AJ45" s="64"/>
      <c r="AK45" s="24"/>
      <c r="AL45" s="45"/>
      <c r="AM45" s="64"/>
      <c r="AN45" s="24"/>
      <c r="AO45" s="45"/>
      <c r="AP45" s="63"/>
      <c r="AQ45" s="28"/>
      <c r="AR45" s="51"/>
      <c r="AS45" s="40"/>
      <c r="AT45" s="31"/>
      <c r="AU45" s="51"/>
      <c r="AV45" s="64"/>
      <c r="AW45" s="32"/>
      <c r="AX45" s="45"/>
      <c r="AY45" s="64"/>
      <c r="AZ45" s="32"/>
      <c r="BA45" s="45"/>
      <c r="BB45" s="69"/>
      <c r="BC45" s="78"/>
      <c r="BD45" s="40"/>
      <c r="BE45" s="24"/>
      <c r="BF45" s="24"/>
      <c r="BG45" s="21"/>
      <c r="BH45" s="34"/>
      <c r="BI45" s="33"/>
      <c r="BJ45" s="33"/>
      <c r="BK45" s="33"/>
      <c r="BL45" s="33"/>
      <c r="BM45" s="149"/>
    </row>
    <row r="46" spans="1:65" x14ac:dyDescent="0.3">
      <c r="A46" s="43">
        <v>13</v>
      </c>
      <c r="B46" s="28">
        <v>1013</v>
      </c>
      <c r="C46" s="25" t="s">
        <v>61</v>
      </c>
      <c r="D46" s="25" t="s">
        <v>64</v>
      </c>
      <c r="E46" s="72" t="s">
        <v>69</v>
      </c>
      <c r="F46" s="42">
        <v>15</v>
      </c>
      <c r="G46" s="31" t="s">
        <v>71</v>
      </c>
      <c r="H46" s="26">
        <v>25</v>
      </c>
      <c r="I46" s="29" t="s">
        <v>45</v>
      </c>
      <c r="J46" s="180">
        <v>1</v>
      </c>
      <c r="K46" s="40" t="s">
        <v>46</v>
      </c>
      <c r="L46" s="31" t="s">
        <v>73</v>
      </c>
      <c r="M46" s="31">
        <v>15</v>
      </c>
      <c r="N46" s="31" t="s">
        <v>72</v>
      </c>
      <c r="O46" s="45" t="s">
        <v>44</v>
      </c>
      <c r="P46" s="40"/>
      <c r="Q46" s="31"/>
      <c r="R46" s="31"/>
      <c r="S46" s="45"/>
      <c r="T46" s="143">
        <v>15</v>
      </c>
      <c r="U46" s="119" t="s">
        <v>72</v>
      </c>
      <c r="V46" s="144">
        <v>2</v>
      </c>
      <c r="W46" s="55">
        <v>2</v>
      </c>
      <c r="X46" s="123">
        <v>15</v>
      </c>
      <c r="Y46" s="124" t="s">
        <v>71</v>
      </c>
      <c r="Z46" s="125">
        <v>1</v>
      </c>
      <c r="AA46" s="62"/>
      <c r="AB46" s="31"/>
      <c r="AC46" s="51"/>
      <c r="AD46" s="48"/>
      <c r="AE46" s="31"/>
      <c r="AF46" s="51"/>
      <c r="AG46" s="64"/>
      <c r="AH46" s="31"/>
      <c r="AI46" s="45"/>
      <c r="AJ46" s="64"/>
      <c r="AK46" s="24"/>
      <c r="AL46" s="45"/>
      <c r="AM46" s="64"/>
      <c r="AN46" s="24"/>
      <c r="AO46" s="45"/>
      <c r="AP46" s="63"/>
      <c r="AQ46" s="28"/>
      <c r="AR46" s="51"/>
      <c r="AS46" s="40"/>
      <c r="AT46" s="31"/>
      <c r="AU46" s="51"/>
      <c r="AV46" s="64"/>
      <c r="AW46" s="32"/>
      <c r="AX46" s="45"/>
      <c r="AY46" s="64"/>
      <c r="AZ46" s="32"/>
      <c r="BA46" s="45"/>
      <c r="BB46" s="69"/>
      <c r="BC46" s="78"/>
      <c r="BD46" s="40"/>
      <c r="BE46" s="28">
        <v>15</v>
      </c>
      <c r="BF46" s="28">
        <v>21.3</v>
      </c>
      <c r="BG46" s="26">
        <v>25</v>
      </c>
      <c r="BH46" s="29" t="s">
        <v>45</v>
      </c>
      <c r="BI46" s="25">
        <f>(BG46*2)+BF46</f>
        <v>71.3</v>
      </c>
      <c r="BJ46" s="25">
        <f>BI46/1000*3.142*J46</f>
        <v>0.22402459999999999</v>
      </c>
      <c r="BK46" s="25">
        <f>BJ46+BJ46*10%</f>
        <v>0.24642705999999998</v>
      </c>
      <c r="BL46" s="25">
        <f>BK46*BG46/1000*160</f>
        <v>0.9857082399999999</v>
      </c>
      <c r="BM46" s="126">
        <f>BK46*2.7*0.511</f>
        <v>0.33999541468200001</v>
      </c>
    </row>
    <row r="47" spans="1:65" x14ac:dyDescent="0.3">
      <c r="A47" s="43"/>
      <c r="B47" s="28"/>
      <c r="C47" s="25"/>
      <c r="D47" s="25"/>
      <c r="E47" s="37"/>
      <c r="F47" s="42"/>
      <c r="G47" s="31"/>
      <c r="H47" s="26"/>
      <c r="I47" s="29"/>
      <c r="J47" s="180"/>
      <c r="K47" s="40"/>
      <c r="L47" s="31"/>
      <c r="M47" s="31"/>
      <c r="N47" s="31"/>
      <c r="O47" s="45"/>
      <c r="P47" s="40"/>
      <c r="Q47" s="31"/>
      <c r="R47" s="31"/>
      <c r="S47" s="45"/>
      <c r="T47" s="48"/>
      <c r="U47" s="31"/>
      <c r="V47" s="51"/>
      <c r="W47" s="55"/>
      <c r="X47" s="62"/>
      <c r="Y47" s="31"/>
      <c r="Z47" s="51"/>
      <c r="AA47" s="62"/>
      <c r="AB47" s="31"/>
      <c r="AC47" s="51"/>
      <c r="AD47" s="48"/>
      <c r="AE47" s="31"/>
      <c r="AF47" s="51"/>
      <c r="AG47" s="64"/>
      <c r="AH47" s="31"/>
      <c r="AI47" s="45"/>
      <c r="AJ47" s="64"/>
      <c r="AK47" s="24"/>
      <c r="AL47" s="45"/>
      <c r="AM47" s="64"/>
      <c r="AN47" s="24"/>
      <c r="AO47" s="45"/>
      <c r="AP47" s="63"/>
      <c r="AQ47" s="28"/>
      <c r="AR47" s="51"/>
      <c r="AS47" s="69"/>
      <c r="AT47" s="28"/>
      <c r="AU47" s="51"/>
      <c r="AV47" s="64"/>
      <c r="AW47" s="32"/>
      <c r="AX47" s="45"/>
      <c r="AY47" s="64"/>
      <c r="AZ47" s="32"/>
      <c r="BA47" s="45"/>
      <c r="BB47" s="69"/>
      <c r="BC47" s="78"/>
      <c r="BD47" s="40"/>
      <c r="BE47" s="24"/>
      <c r="BF47" s="24"/>
      <c r="BG47" s="21"/>
      <c r="BH47" s="34"/>
      <c r="BI47" s="33"/>
      <c r="BJ47" s="33"/>
      <c r="BK47" s="33"/>
      <c r="BL47" s="33"/>
      <c r="BM47" s="149"/>
    </row>
    <row r="48" spans="1:65" x14ac:dyDescent="0.3">
      <c r="A48" s="43">
        <v>14</v>
      </c>
      <c r="B48" s="28">
        <v>1014</v>
      </c>
      <c r="C48" s="25" t="s">
        <v>43</v>
      </c>
      <c r="D48" s="25" t="s">
        <v>62</v>
      </c>
      <c r="E48" s="73" t="s">
        <v>52</v>
      </c>
      <c r="F48" s="42">
        <v>15</v>
      </c>
      <c r="G48" s="31" t="s">
        <v>72</v>
      </c>
      <c r="H48" s="26">
        <v>25</v>
      </c>
      <c r="I48" s="29" t="s">
        <v>45</v>
      </c>
      <c r="J48" s="180">
        <v>6</v>
      </c>
      <c r="K48" s="40" t="s">
        <v>46</v>
      </c>
      <c r="L48" s="31" t="s">
        <v>47</v>
      </c>
      <c r="M48" s="31">
        <v>15</v>
      </c>
      <c r="N48" s="31" t="s">
        <v>72</v>
      </c>
      <c r="O48" s="45" t="s">
        <v>44</v>
      </c>
      <c r="P48" s="40" t="s">
        <v>51</v>
      </c>
      <c r="Q48" s="31" t="s">
        <v>52</v>
      </c>
      <c r="R48" s="31" t="s">
        <v>91</v>
      </c>
      <c r="S48" s="45" t="s">
        <v>72</v>
      </c>
      <c r="T48" s="136">
        <v>25</v>
      </c>
      <c r="U48" s="118" t="s">
        <v>72</v>
      </c>
      <c r="V48" s="137">
        <v>1</v>
      </c>
      <c r="W48" s="55">
        <v>1</v>
      </c>
      <c r="X48" s="176">
        <v>15</v>
      </c>
      <c r="Y48" s="177" t="s">
        <v>72</v>
      </c>
      <c r="Z48" s="178">
        <v>3</v>
      </c>
      <c r="AA48" s="62"/>
      <c r="AB48" s="31"/>
      <c r="AC48" s="51"/>
      <c r="AD48" s="48"/>
      <c r="AE48" s="31"/>
      <c r="AF48" s="51"/>
      <c r="AG48" s="64"/>
      <c r="AH48" s="31"/>
      <c r="AI48" s="45"/>
      <c r="AJ48" s="64"/>
      <c r="AK48" s="24"/>
      <c r="AL48" s="45"/>
      <c r="AM48" s="64"/>
      <c r="AN48" s="24"/>
      <c r="AO48" s="45"/>
      <c r="AP48" s="63" t="s">
        <v>127</v>
      </c>
      <c r="AQ48" s="28">
        <v>15</v>
      </c>
      <c r="AR48" s="51">
        <v>1</v>
      </c>
      <c r="AS48" s="69" t="s">
        <v>79</v>
      </c>
      <c r="AT48" s="28">
        <v>15</v>
      </c>
      <c r="AU48" s="51">
        <v>1</v>
      </c>
      <c r="AV48" s="64"/>
      <c r="AW48" s="32"/>
      <c r="AX48" s="45"/>
      <c r="AY48" s="64" t="s">
        <v>85</v>
      </c>
      <c r="AZ48" s="32" t="s">
        <v>72</v>
      </c>
      <c r="BA48" s="45">
        <v>2</v>
      </c>
      <c r="BB48" s="69"/>
      <c r="BC48" s="78"/>
      <c r="BD48" s="40"/>
      <c r="BE48" s="28">
        <v>15</v>
      </c>
      <c r="BF48" s="28">
        <v>21.3</v>
      </c>
      <c r="BG48" s="26">
        <v>25</v>
      </c>
      <c r="BH48" s="29" t="s">
        <v>45</v>
      </c>
      <c r="BI48" s="25">
        <f>(BG48*2)+BF48</f>
        <v>71.3</v>
      </c>
      <c r="BJ48" s="25">
        <f>BI48/1000*3.142*J48</f>
        <v>1.3441475999999999</v>
      </c>
      <c r="BK48" s="25">
        <f>BJ48+BJ48*10%</f>
        <v>1.47856236</v>
      </c>
      <c r="BL48" s="25">
        <f>BK48*BG48/1000*160</f>
        <v>5.9142494399999999</v>
      </c>
      <c r="BM48" s="126">
        <f>BK48*2.7*0.511</f>
        <v>2.0399724880920003</v>
      </c>
    </row>
    <row r="49" spans="1:65" x14ac:dyDescent="0.3">
      <c r="A49" s="43"/>
      <c r="B49" s="28"/>
      <c r="C49" s="23"/>
      <c r="D49" s="25"/>
      <c r="E49" s="37" t="s">
        <v>52</v>
      </c>
      <c r="F49" s="42"/>
      <c r="G49" s="31"/>
      <c r="H49" s="26"/>
      <c r="I49" s="29"/>
      <c r="J49" s="180"/>
      <c r="K49" s="40" t="s">
        <v>56</v>
      </c>
      <c r="L49" s="31" t="s">
        <v>47</v>
      </c>
      <c r="M49" s="31">
        <v>15</v>
      </c>
      <c r="N49" s="31" t="s">
        <v>72</v>
      </c>
      <c r="O49" s="45" t="s">
        <v>44</v>
      </c>
      <c r="P49" s="40"/>
      <c r="Q49" s="31"/>
      <c r="R49" s="31"/>
      <c r="S49" s="45"/>
      <c r="T49" s="143">
        <v>15</v>
      </c>
      <c r="U49" s="119" t="s">
        <v>72</v>
      </c>
      <c r="V49" s="144">
        <v>2</v>
      </c>
      <c r="W49" s="81">
        <v>1</v>
      </c>
      <c r="X49" s="123">
        <v>15</v>
      </c>
      <c r="Y49" s="124" t="s">
        <v>72</v>
      </c>
      <c r="Z49" s="125">
        <v>1</v>
      </c>
      <c r="AA49" s="62"/>
      <c r="AB49" s="31"/>
      <c r="AC49" s="51"/>
      <c r="AD49" s="48"/>
      <c r="AE49" s="31"/>
      <c r="AF49" s="51"/>
      <c r="AG49" s="64"/>
      <c r="AH49" s="31"/>
      <c r="AI49" s="45"/>
      <c r="AJ49" s="64"/>
      <c r="AK49" s="24"/>
      <c r="AL49" s="45"/>
      <c r="AM49" s="64"/>
      <c r="AN49" s="24"/>
      <c r="AO49" s="45"/>
      <c r="AP49" s="63"/>
      <c r="AQ49" s="28"/>
      <c r="AR49" s="51"/>
      <c r="AS49" s="40"/>
      <c r="AT49" s="31"/>
      <c r="AU49" s="51"/>
      <c r="AV49" s="64"/>
      <c r="AW49" s="32"/>
      <c r="AX49" s="45"/>
      <c r="AY49" s="64"/>
      <c r="AZ49" s="32"/>
      <c r="BA49" s="45"/>
      <c r="BB49" s="69"/>
      <c r="BC49" s="78"/>
      <c r="BD49" s="40"/>
      <c r="BE49" s="24"/>
      <c r="BF49" s="24"/>
      <c r="BG49" s="21"/>
      <c r="BH49" s="34"/>
      <c r="BI49" s="31"/>
      <c r="BJ49" s="31"/>
      <c r="BK49" s="31"/>
      <c r="BL49" s="31"/>
      <c r="BM49" s="45"/>
    </row>
    <row r="50" spans="1:65" x14ac:dyDescent="0.3">
      <c r="A50" s="43"/>
      <c r="B50" s="28"/>
      <c r="C50" s="23"/>
      <c r="D50" s="25"/>
      <c r="E50" s="37" t="s">
        <v>52</v>
      </c>
      <c r="F50" s="42"/>
      <c r="G50" s="31"/>
      <c r="H50" s="26"/>
      <c r="I50" s="29"/>
      <c r="J50" s="180"/>
      <c r="K50" s="40" t="s">
        <v>58</v>
      </c>
      <c r="L50" s="31" t="s">
        <v>47</v>
      </c>
      <c r="M50" s="31">
        <v>15</v>
      </c>
      <c r="N50" s="31" t="s">
        <v>72</v>
      </c>
      <c r="O50" s="45" t="s">
        <v>44</v>
      </c>
      <c r="P50" s="40"/>
      <c r="Q50" s="31"/>
      <c r="R50" s="31"/>
      <c r="S50" s="45"/>
      <c r="T50" s="141">
        <v>15</v>
      </c>
      <c r="U50" s="117" t="s">
        <v>72</v>
      </c>
      <c r="V50" s="142">
        <v>4</v>
      </c>
      <c r="W50" s="55">
        <v>2</v>
      </c>
      <c r="X50" s="62"/>
      <c r="Y50" s="31"/>
      <c r="Z50" s="51"/>
      <c r="AA50" s="62"/>
      <c r="AB50" s="31"/>
      <c r="AC50" s="51"/>
      <c r="AD50" s="48"/>
      <c r="AE50" s="31"/>
      <c r="AF50" s="51"/>
      <c r="AG50" s="64"/>
      <c r="AH50" s="31"/>
      <c r="AI50" s="45"/>
      <c r="AJ50" s="64"/>
      <c r="AK50" s="24"/>
      <c r="AL50" s="45"/>
      <c r="AM50" s="64"/>
      <c r="AN50" s="24"/>
      <c r="AO50" s="45"/>
      <c r="AP50" s="63"/>
      <c r="AQ50" s="28"/>
      <c r="AR50" s="51"/>
      <c r="AS50" s="40"/>
      <c r="AT50" s="31"/>
      <c r="AU50" s="51"/>
      <c r="AV50" s="64"/>
      <c r="AW50" s="32"/>
      <c r="AX50" s="45"/>
      <c r="AY50" s="64"/>
      <c r="AZ50" s="32"/>
      <c r="BA50" s="45"/>
      <c r="BB50" s="69"/>
      <c r="BC50" s="78"/>
      <c r="BD50" s="48"/>
      <c r="BE50" s="24"/>
      <c r="BF50" s="24"/>
      <c r="BG50" s="21"/>
      <c r="BH50" s="34"/>
      <c r="BI50" s="31"/>
      <c r="BJ50" s="31"/>
      <c r="BK50" s="31"/>
      <c r="BL50" s="31"/>
      <c r="BM50" s="45"/>
    </row>
    <row r="51" spans="1:65" x14ac:dyDescent="0.3">
      <c r="A51" s="43"/>
      <c r="B51" s="28"/>
      <c r="C51" s="25"/>
      <c r="D51" s="25"/>
      <c r="E51" s="37" t="s">
        <v>52</v>
      </c>
      <c r="F51" s="42"/>
      <c r="G51" s="31"/>
      <c r="H51" s="26"/>
      <c r="I51" s="29"/>
      <c r="J51" s="180"/>
      <c r="K51" s="40" t="s">
        <v>66</v>
      </c>
      <c r="L51" s="31" t="s">
        <v>55</v>
      </c>
      <c r="M51" s="31">
        <v>15</v>
      </c>
      <c r="N51" s="31" t="s">
        <v>44</v>
      </c>
      <c r="O51" s="45" t="s">
        <v>44</v>
      </c>
      <c r="P51" s="40"/>
      <c r="Q51" s="31"/>
      <c r="R51" s="31"/>
      <c r="S51" s="45"/>
      <c r="T51" s="48"/>
      <c r="U51" s="31"/>
      <c r="V51" s="51"/>
      <c r="W51" s="55"/>
      <c r="X51" s="62"/>
      <c r="Y51" s="31"/>
      <c r="Z51" s="51"/>
      <c r="AA51" s="62"/>
      <c r="AB51" s="31"/>
      <c r="AC51" s="51"/>
      <c r="AD51" s="48"/>
      <c r="AE51" s="31"/>
      <c r="AF51" s="51"/>
      <c r="AG51" s="64"/>
      <c r="AH51" s="31"/>
      <c r="AI51" s="45"/>
      <c r="AJ51" s="64"/>
      <c r="AK51" s="24"/>
      <c r="AL51" s="45"/>
      <c r="AM51" s="64"/>
      <c r="AN51" s="24"/>
      <c r="AO51" s="45"/>
      <c r="AP51" s="63"/>
      <c r="AQ51" s="28"/>
      <c r="AR51" s="51"/>
      <c r="AS51" s="40"/>
      <c r="AT51" s="31"/>
      <c r="AU51" s="51"/>
      <c r="AV51" s="64"/>
      <c r="AW51" s="32"/>
      <c r="AX51" s="45"/>
      <c r="AY51" s="64"/>
      <c r="AZ51" s="32"/>
      <c r="BA51" s="45"/>
      <c r="BB51" s="69"/>
      <c r="BC51" s="78"/>
      <c r="BD51" s="40"/>
      <c r="BE51" s="24"/>
      <c r="BF51" s="24"/>
      <c r="BG51" s="21"/>
      <c r="BH51" s="34"/>
      <c r="BI51" s="33"/>
      <c r="BJ51" s="33"/>
      <c r="BK51" s="33"/>
      <c r="BL51" s="33"/>
      <c r="BM51" s="149"/>
    </row>
    <row r="52" spans="1:65" x14ac:dyDescent="0.3">
      <c r="A52" s="43"/>
      <c r="B52" s="28"/>
      <c r="C52" s="25"/>
      <c r="D52" s="25"/>
      <c r="E52" s="37"/>
      <c r="F52" s="42"/>
      <c r="G52" s="31"/>
      <c r="H52" s="26"/>
      <c r="I52" s="29"/>
      <c r="J52" s="180"/>
      <c r="K52" s="40"/>
      <c r="L52" s="31"/>
      <c r="M52" s="31"/>
      <c r="N52" s="31"/>
      <c r="O52" s="45"/>
      <c r="P52" s="40"/>
      <c r="Q52" s="31"/>
      <c r="R52" s="31"/>
      <c r="S52" s="45"/>
      <c r="T52" s="48"/>
      <c r="U52" s="31"/>
      <c r="V52" s="51"/>
      <c r="W52" s="55"/>
      <c r="X52" s="62"/>
      <c r="Y52" s="31"/>
      <c r="Z52" s="51"/>
      <c r="AA52" s="62"/>
      <c r="AB52" s="31"/>
      <c r="AC52" s="51"/>
      <c r="AD52" s="48"/>
      <c r="AE52" s="31"/>
      <c r="AF52" s="51"/>
      <c r="AG52" s="64"/>
      <c r="AH52" s="31"/>
      <c r="AI52" s="45"/>
      <c r="AJ52" s="64"/>
      <c r="AK52" s="24"/>
      <c r="AL52" s="45"/>
      <c r="AM52" s="64"/>
      <c r="AN52" s="24"/>
      <c r="AO52" s="45"/>
      <c r="AP52" s="63"/>
      <c r="AQ52" s="28"/>
      <c r="AR52" s="51"/>
      <c r="AS52" s="40"/>
      <c r="AT52" s="31"/>
      <c r="AU52" s="51"/>
      <c r="AV52" s="64"/>
      <c r="AW52" s="32"/>
      <c r="AX52" s="45"/>
      <c r="AY52" s="64"/>
      <c r="AZ52" s="32"/>
      <c r="BA52" s="45"/>
      <c r="BB52" s="69"/>
      <c r="BC52" s="78"/>
      <c r="BD52" s="40"/>
      <c r="BE52" s="24"/>
      <c r="BF52" s="24"/>
      <c r="BG52" s="21"/>
      <c r="BH52" s="34"/>
      <c r="BI52" s="33"/>
      <c r="BJ52" s="33"/>
      <c r="BK52" s="33"/>
      <c r="BL52" s="33"/>
      <c r="BM52" s="149"/>
    </row>
    <row r="53" spans="1:65" x14ac:dyDescent="0.3">
      <c r="A53" s="43">
        <v>15</v>
      </c>
      <c r="B53" s="28">
        <v>1015</v>
      </c>
      <c r="C53" s="25" t="s">
        <v>43</v>
      </c>
      <c r="D53" s="25" t="s">
        <v>62</v>
      </c>
      <c r="E53" s="73" t="s">
        <v>52</v>
      </c>
      <c r="F53" s="42">
        <v>15</v>
      </c>
      <c r="G53" s="31" t="s">
        <v>72</v>
      </c>
      <c r="H53" s="26">
        <v>25</v>
      </c>
      <c r="I53" s="29" t="s">
        <v>45</v>
      </c>
      <c r="J53" s="180">
        <v>6</v>
      </c>
      <c r="K53" s="40" t="s">
        <v>46</v>
      </c>
      <c r="L53" s="31" t="s">
        <v>47</v>
      </c>
      <c r="M53" s="31">
        <v>15</v>
      </c>
      <c r="N53" s="31" t="s">
        <v>72</v>
      </c>
      <c r="O53" s="45" t="s">
        <v>44</v>
      </c>
      <c r="P53" s="40"/>
      <c r="Q53" s="31"/>
      <c r="R53" s="31"/>
      <c r="S53" s="45"/>
      <c r="T53" s="136">
        <v>50</v>
      </c>
      <c r="U53" s="118" t="s">
        <v>72</v>
      </c>
      <c r="V53" s="137">
        <v>1</v>
      </c>
      <c r="W53" s="55">
        <v>1</v>
      </c>
      <c r="X53" s="176">
        <v>15</v>
      </c>
      <c r="Y53" s="177" t="s">
        <v>72</v>
      </c>
      <c r="Z53" s="178">
        <v>3</v>
      </c>
      <c r="AA53" s="62"/>
      <c r="AB53" s="31"/>
      <c r="AC53" s="51"/>
      <c r="AD53" s="48"/>
      <c r="AE53" s="31"/>
      <c r="AF53" s="51"/>
      <c r="AG53" s="64"/>
      <c r="AH53" s="31"/>
      <c r="AI53" s="45"/>
      <c r="AJ53" s="64"/>
      <c r="AK53" s="24"/>
      <c r="AL53" s="45"/>
      <c r="AM53" s="64"/>
      <c r="AN53" s="24"/>
      <c r="AO53" s="45"/>
      <c r="AP53" s="63" t="s">
        <v>127</v>
      </c>
      <c r="AQ53" s="28">
        <v>15</v>
      </c>
      <c r="AR53" s="51">
        <v>1</v>
      </c>
      <c r="AS53" s="69" t="s">
        <v>79</v>
      </c>
      <c r="AT53" s="28">
        <v>15</v>
      </c>
      <c r="AU53" s="51">
        <v>1</v>
      </c>
      <c r="AV53" s="64"/>
      <c r="AW53" s="32"/>
      <c r="AX53" s="45"/>
      <c r="AY53" s="64" t="s">
        <v>85</v>
      </c>
      <c r="AZ53" s="32" t="s">
        <v>72</v>
      </c>
      <c r="BA53" s="45">
        <v>2</v>
      </c>
      <c r="BB53" s="69"/>
      <c r="BC53" s="78"/>
      <c r="BD53" s="40"/>
      <c r="BE53" s="28">
        <v>15</v>
      </c>
      <c r="BF53" s="28">
        <v>21.3</v>
      </c>
      <c r="BG53" s="26">
        <v>25</v>
      </c>
      <c r="BH53" s="29" t="s">
        <v>45</v>
      </c>
      <c r="BI53" s="25">
        <f>(BG53*2)+BF53</f>
        <v>71.3</v>
      </c>
      <c r="BJ53" s="25">
        <f>BI53/1000*3.142*J53</f>
        <v>1.3441475999999999</v>
      </c>
      <c r="BK53" s="25">
        <f>BJ53+BJ53*10%</f>
        <v>1.47856236</v>
      </c>
      <c r="BL53" s="25">
        <f>BK53*BG53/1000*160</f>
        <v>5.9142494399999999</v>
      </c>
      <c r="BM53" s="126">
        <f>BK53*2.7*0.511</f>
        <v>2.0399724880920003</v>
      </c>
    </row>
    <row r="54" spans="1:65" x14ac:dyDescent="0.3">
      <c r="A54" s="43"/>
      <c r="B54" s="28"/>
      <c r="C54" s="25"/>
      <c r="D54" s="23"/>
      <c r="E54" s="37" t="s">
        <v>52</v>
      </c>
      <c r="F54" s="42"/>
      <c r="G54" s="31"/>
      <c r="H54" s="26"/>
      <c r="I54" s="29"/>
      <c r="J54" s="180"/>
      <c r="K54" s="40" t="s">
        <v>56</v>
      </c>
      <c r="L54" s="31" t="s">
        <v>47</v>
      </c>
      <c r="M54" s="31">
        <v>15</v>
      </c>
      <c r="N54" s="31" t="s">
        <v>72</v>
      </c>
      <c r="O54" s="45" t="s">
        <v>44</v>
      </c>
      <c r="P54" s="40"/>
      <c r="Q54" s="31"/>
      <c r="R54" s="31"/>
      <c r="S54" s="45"/>
      <c r="T54" s="143">
        <v>15</v>
      </c>
      <c r="U54" s="119" t="s">
        <v>72</v>
      </c>
      <c r="V54" s="144">
        <v>2</v>
      </c>
      <c r="W54" s="81">
        <v>1</v>
      </c>
      <c r="X54" s="123">
        <v>15</v>
      </c>
      <c r="Y54" s="124" t="s">
        <v>72</v>
      </c>
      <c r="Z54" s="125">
        <v>1</v>
      </c>
      <c r="AA54" s="62"/>
      <c r="AB54" s="31"/>
      <c r="AC54" s="51"/>
      <c r="AD54" s="48"/>
      <c r="AE54" s="31"/>
      <c r="AF54" s="51"/>
      <c r="AG54" s="64"/>
      <c r="AH54" s="31"/>
      <c r="AI54" s="45"/>
      <c r="AJ54" s="64"/>
      <c r="AK54" s="24"/>
      <c r="AL54" s="45"/>
      <c r="AM54" s="64"/>
      <c r="AN54" s="24"/>
      <c r="AO54" s="45"/>
      <c r="AP54" s="63"/>
      <c r="AQ54" s="28"/>
      <c r="AR54" s="51"/>
      <c r="AS54" s="40"/>
      <c r="AT54" s="31"/>
      <c r="AU54" s="51"/>
      <c r="AV54" s="64"/>
      <c r="AW54" s="32"/>
      <c r="AX54" s="45"/>
      <c r="AY54" s="64"/>
      <c r="AZ54" s="32"/>
      <c r="BA54" s="45"/>
      <c r="BB54" s="69"/>
      <c r="BC54" s="78"/>
      <c r="BD54" s="40"/>
      <c r="BE54" s="24"/>
      <c r="BF54" s="24"/>
      <c r="BG54" s="21"/>
      <c r="BH54" s="34"/>
      <c r="BI54" s="33"/>
      <c r="BJ54" s="33"/>
      <c r="BK54" s="33"/>
      <c r="BL54" s="33"/>
      <c r="BM54" s="149"/>
    </row>
    <row r="55" spans="1:65" x14ac:dyDescent="0.3">
      <c r="A55" s="43"/>
      <c r="B55" s="28"/>
      <c r="C55" s="25"/>
      <c r="D55" s="25"/>
      <c r="E55" s="37" t="s">
        <v>52</v>
      </c>
      <c r="F55" s="42"/>
      <c r="G55" s="31"/>
      <c r="H55" s="26"/>
      <c r="I55" s="29"/>
      <c r="J55" s="180"/>
      <c r="K55" s="40" t="s">
        <v>58</v>
      </c>
      <c r="L55" s="31" t="s">
        <v>47</v>
      </c>
      <c r="M55" s="31">
        <v>15</v>
      </c>
      <c r="N55" s="31" t="s">
        <v>72</v>
      </c>
      <c r="O55" s="45" t="s">
        <v>44</v>
      </c>
      <c r="P55" s="40"/>
      <c r="Q55" s="31"/>
      <c r="R55" s="31"/>
      <c r="S55" s="45"/>
      <c r="T55" s="141">
        <v>15</v>
      </c>
      <c r="U55" s="117" t="s">
        <v>72</v>
      </c>
      <c r="V55" s="142">
        <v>4</v>
      </c>
      <c r="W55" s="55">
        <v>2</v>
      </c>
      <c r="X55" s="62"/>
      <c r="Y55" s="31"/>
      <c r="Z55" s="51"/>
      <c r="AA55" s="62"/>
      <c r="AB55" s="31"/>
      <c r="AC55" s="51"/>
      <c r="AD55" s="48"/>
      <c r="AE55" s="31"/>
      <c r="AF55" s="51"/>
      <c r="AG55" s="64"/>
      <c r="AH55" s="31"/>
      <c r="AI55" s="45"/>
      <c r="AJ55" s="64"/>
      <c r="AK55" s="24"/>
      <c r="AL55" s="45"/>
      <c r="AM55" s="64"/>
      <c r="AN55" s="24"/>
      <c r="AO55" s="45"/>
      <c r="AP55" s="63"/>
      <c r="AQ55" s="28"/>
      <c r="AR55" s="51"/>
      <c r="AS55" s="40"/>
      <c r="AT55" s="31"/>
      <c r="AU55" s="51"/>
      <c r="AV55" s="64"/>
      <c r="AW55" s="32"/>
      <c r="AX55" s="45"/>
      <c r="AY55" s="64"/>
      <c r="AZ55" s="32"/>
      <c r="BA55" s="45"/>
      <c r="BB55" s="69"/>
      <c r="BC55" s="78"/>
      <c r="BD55" s="48"/>
      <c r="BE55" s="24"/>
      <c r="BF55" s="24"/>
      <c r="BG55" s="21"/>
      <c r="BH55" s="34"/>
      <c r="BI55" s="31"/>
      <c r="BJ55" s="31"/>
      <c r="BK55" s="31"/>
      <c r="BL55" s="31"/>
      <c r="BM55" s="45"/>
    </row>
    <row r="56" spans="1:65" x14ac:dyDescent="0.3">
      <c r="A56" s="43"/>
      <c r="B56" s="28"/>
      <c r="C56" s="25"/>
      <c r="D56" s="25"/>
      <c r="E56" s="37" t="s">
        <v>52</v>
      </c>
      <c r="F56" s="42"/>
      <c r="G56" s="31"/>
      <c r="H56" s="26"/>
      <c r="I56" s="29"/>
      <c r="J56" s="180"/>
      <c r="K56" s="40" t="s">
        <v>66</v>
      </c>
      <c r="L56" s="31" t="s">
        <v>55</v>
      </c>
      <c r="M56" s="31">
        <v>15</v>
      </c>
      <c r="N56" s="31" t="s">
        <v>44</v>
      </c>
      <c r="O56" s="45" t="s">
        <v>44</v>
      </c>
      <c r="P56" s="40"/>
      <c r="Q56" s="31"/>
      <c r="R56" s="31"/>
      <c r="S56" s="45"/>
      <c r="T56" s="48"/>
      <c r="U56" s="31"/>
      <c r="V56" s="51"/>
      <c r="W56" s="55"/>
      <c r="X56" s="62"/>
      <c r="Y56" s="31"/>
      <c r="Z56" s="51"/>
      <c r="AA56" s="62"/>
      <c r="AB56" s="31"/>
      <c r="AC56" s="51"/>
      <c r="AD56" s="48"/>
      <c r="AE56" s="31"/>
      <c r="AF56" s="51"/>
      <c r="AG56" s="64"/>
      <c r="AH56" s="31"/>
      <c r="AI56" s="45"/>
      <c r="AJ56" s="64"/>
      <c r="AK56" s="24"/>
      <c r="AL56" s="45"/>
      <c r="AM56" s="64"/>
      <c r="AN56" s="24"/>
      <c r="AO56" s="45"/>
      <c r="AP56" s="63"/>
      <c r="AQ56" s="28"/>
      <c r="AR56" s="51"/>
      <c r="AS56" s="40"/>
      <c r="AT56" s="31"/>
      <c r="AU56" s="51"/>
      <c r="AV56" s="64"/>
      <c r="AW56" s="32"/>
      <c r="AX56" s="45"/>
      <c r="AY56" s="64"/>
      <c r="AZ56" s="32"/>
      <c r="BA56" s="45"/>
      <c r="BB56" s="69"/>
      <c r="BC56" s="78"/>
      <c r="BD56" s="40"/>
      <c r="BE56" s="24"/>
      <c r="BF56" s="24"/>
      <c r="BG56" s="21"/>
      <c r="BH56" s="34"/>
      <c r="BI56" s="33"/>
      <c r="BJ56" s="33"/>
      <c r="BK56" s="33"/>
      <c r="BL56" s="33"/>
      <c r="BM56" s="149"/>
    </row>
    <row r="57" spans="1:65" x14ac:dyDescent="0.3">
      <c r="A57" s="43"/>
      <c r="B57" s="28"/>
      <c r="C57" s="25"/>
      <c r="D57" s="25"/>
      <c r="E57" s="37"/>
      <c r="F57" s="42"/>
      <c r="G57" s="31"/>
      <c r="H57" s="26"/>
      <c r="I57" s="29"/>
      <c r="J57" s="180"/>
      <c r="K57" s="40"/>
      <c r="L57" s="31"/>
      <c r="M57" s="31"/>
      <c r="N57" s="31"/>
      <c r="O57" s="45"/>
      <c r="P57" s="40"/>
      <c r="Q57" s="31"/>
      <c r="R57" s="31"/>
      <c r="S57" s="45"/>
      <c r="T57" s="48"/>
      <c r="U57" s="31"/>
      <c r="V57" s="51"/>
      <c r="W57" s="55"/>
      <c r="X57" s="62"/>
      <c r="Y57" s="31"/>
      <c r="Z57" s="51"/>
      <c r="AA57" s="62"/>
      <c r="AB57" s="31"/>
      <c r="AC57" s="51"/>
      <c r="AD57" s="48"/>
      <c r="AE57" s="31"/>
      <c r="AF57" s="51"/>
      <c r="AG57" s="64"/>
      <c r="AH57" s="31"/>
      <c r="AI57" s="45"/>
      <c r="AJ57" s="64"/>
      <c r="AK57" s="24"/>
      <c r="AL57" s="45"/>
      <c r="AM57" s="64"/>
      <c r="AN57" s="24"/>
      <c r="AO57" s="45"/>
      <c r="AP57" s="63"/>
      <c r="AQ57" s="28"/>
      <c r="AR57" s="51"/>
      <c r="AS57" s="40"/>
      <c r="AT57" s="31"/>
      <c r="AU57" s="51"/>
      <c r="AV57" s="64"/>
      <c r="AW57" s="32"/>
      <c r="AX57" s="45"/>
      <c r="AY57" s="64"/>
      <c r="AZ57" s="32"/>
      <c r="BA57" s="45"/>
      <c r="BB57" s="69"/>
      <c r="BC57" s="78"/>
      <c r="BD57" s="40"/>
      <c r="BE57" s="24"/>
      <c r="BF57" s="24"/>
      <c r="BG57" s="21"/>
      <c r="BH57" s="34"/>
      <c r="BI57" s="33"/>
      <c r="BJ57" s="33"/>
      <c r="BK57" s="33"/>
      <c r="BL57" s="33"/>
      <c r="BM57" s="149"/>
    </row>
    <row r="58" spans="1:65" x14ac:dyDescent="0.3">
      <c r="A58" s="43"/>
      <c r="B58" s="28"/>
      <c r="C58" s="25"/>
      <c r="D58" s="25"/>
      <c r="E58" s="73" t="s">
        <v>84</v>
      </c>
      <c r="F58" s="42">
        <v>50</v>
      </c>
      <c r="G58" s="31" t="s">
        <v>72</v>
      </c>
      <c r="H58" s="26">
        <v>40</v>
      </c>
      <c r="I58" s="29" t="s">
        <v>45</v>
      </c>
      <c r="J58" s="191">
        <v>0.5</v>
      </c>
      <c r="K58" s="40"/>
      <c r="L58" s="31"/>
      <c r="M58" s="31"/>
      <c r="N58" s="31"/>
      <c r="O58" s="45"/>
      <c r="P58" s="40"/>
      <c r="Q58" s="31"/>
      <c r="R58" s="31"/>
      <c r="S58" s="45"/>
      <c r="T58" s="48"/>
      <c r="U58" s="31"/>
      <c r="V58" s="51"/>
      <c r="W58" s="55"/>
      <c r="X58" s="62"/>
      <c r="Y58" s="31"/>
      <c r="Z58" s="51"/>
      <c r="AA58" s="62"/>
      <c r="AB58" s="31"/>
      <c r="AC58" s="51"/>
      <c r="AD58" s="48"/>
      <c r="AE58" s="31"/>
      <c r="AF58" s="51"/>
      <c r="AG58" s="64"/>
      <c r="AH58" s="31"/>
      <c r="AI58" s="45"/>
      <c r="AJ58" s="64"/>
      <c r="AK58" s="24"/>
      <c r="AL58" s="45"/>
      <c r="AM58" s="64"/>
      <c r="AN58" s="24"/>
      <c r="AO58" s="45"/>
      <c r="AP58" s="63"/>
      <c r="AQ58" s="28"/>
      <c r="AR58" s="51"/>
      <c r="AS58" s="40"/>
      <c r="AT58" s="31"/>
      <c r="AU58" s="51"/>
      <c r="AV58" s="64"/>
      <c r="AW58" s="32"/>
      <c r="AX58" s="45"/>
      <c r="AY58" s="64"/>
      <c r="AZ58" s="32"/>
      <c r="BA58" s="45"/>
      <c r="BB58" s="69"/>
      <c r="BC58" s="78"/>
      <c r="BD58" s="40"/>
      <c r="BE58" s="28">
        <v>50</v>
      </c>
      <c r="BF58" s="28">
        <v>60.3</v>
      </c>
      <c r="BG58" s="26">
        <v>40</v>
      </c>
      <c r="BH58" s="29" t="s">
        <v>45</v>
      </c>
      <c r="BI58" s="25">
        <f>(BG58*2)+BF58</f>
        <v>140.30000000000001</v>
      </c>
      <c r="BJ58" s="25">
        <f>BI58/1000*3.142*J58</f>
        <v>0.2204113</v>
      </c>
      <c r="BK58" s="25">
        <f>BJ58+BJ58*10%</f>
        <v>0.24245243</v>
      </c>
      <c r="BL58" s="25">
        <f>BK58*BG58/1000*160</f>
        <v>1.551695552</v>
      </c>
      <c r="BM58" s="126">
        <f>BK58*2.7*0.511</f>
        <v>0.33451161767100002</v>
      </c>
    </row>
    <row r="59" spans="1:65" x14ac:dyDescent="0.3">
      <c r="A59" s="43"/>
      <c r="B59" s="28"/>
      <c r="C59" s="25"/>
      <c r="D59" s="25"/>
      <c r="E59" s="37"/>
      <c r="F59" s="42"/>
      <c r="G59" s="31"/>
      <c r="H59" s="26"/>
      <c r="I59" s="29"/>
      <c r="J59" s="180"/>
      <c r="K59" s="40"/>
      <c r="L59" s="31"/>
      <c r="M59" s="31"/>
      <c r="N59" s="31"/>
      <c r="O59" s="45"/>
      <c r="P59" s="40"/>
      <c r="Q59" s="31"/>
      <c r="R59" s="31"/>
      <c r="S59" s="45"/>
      <c r="T59" s="48"/>
      <c r="U59" s="31"/>
      <c r="V59" s="51"/>
      <c r="W59" s="55"/>
      <c r="X59" s="62"/>
      <c r="Y59" s="31"/>
      <c r="Z59" s="51"/>
      <c r="AA59" s="62"/>
      <c r="AB59" s="31"/>
      <c r="AC59" s="51"/>
      <c r="AD59" s="48"/>
      <c r="AE59" s="31"/>
      <c r="AF59" s="51"/>
      <c r="AG59" s="64"/>
      <c r="AH59" s="31"/>
      <c r="AI59" s="45"/>
      <c r="AJ59" s="64"/>
      <c r="AK59" s="24"/>
      <c r="AL59" s="45"/>
      <c r="AM59" s="64"/>
      <c r="AN59" s="24"/>
      <c r="AO59" s="45"/>
      <c r="AP59" s="63"/>
      <c r="AQ59" s="28"/>
      <c r="AR59" s="51"/>
      <c r="AS59" s="40"/>
      <c r="AT59" s="31"/>
      <c r="AU59" s="51"/>
      <c r="AV59" s="64"/>
      <c r="AW59" s="32"/>
      <c r="AX59" s="45"/>
      <c r="AY59" s="64"/>
      <c r="AZ59" s="32"/>
      <c r="BA59" s="45"/>
      <c r="BB59" s="69"/>
      <c r="BC59" s="78"/>
      <c r="BD59" s="40"/>
      <c r="BE59" s="24"/>
      <c r="BF59" s="24"/>
      <c r="BG59" s="21"/>
      <c r="BH59" s="34"/>
      <c r="BI59" s="33"/>
      <c r="BJ59" s="33"/>
      <c r="BK59" s="33"/>
      <c r="BL59" s="33"/>
      <c r="BM59" s="149"/>
    </row>
    <row r="60" spans="1:65" x14ac:dyDescent="0.3">
      <c r="A60" s="43">
        <v>16</v>
      </c>
      <c r="B60" s="28">
        <v>1016</v>
      </c>
      <c r="C60" s="25" t="s">
        <v>82</v>
      </c>
      <c r="D60" s="25" t="s">
        <v>49</v>
      </c>
      <c r="E60" s="74" t="s">
        <v>124</v>
      </c>
      <c r="F60" s="42">
        <v>40</v>
      </c>
      <c r="G60" s="31" t="s">
        <v>72</v>
      </c>
      <c r="H60" s="26"/>
      <c r="I60" s="29"/>
      <c r="J60" s="180">
        <v>5</v>
      </c>
      <c r="K60" s="40"/>
      <c r="L60" s="31"/>
      <c r="M60" s="31"/>
      <c r="N60" s="31"/>
      <c r="O60" s="45"/>
      <c r="P60" s="40"/>
      <c r="Q60" s="31"/>
      <c r="R60" s="31"/>
      <c r="S60" s="45"/>
      <c r="T60" s="136">
        <v>40</v>
      </c>
      <c r="U60" s="118" t="s">
        <v>72</v>
      </c>
      <c r="V60" s="137">
        <v>1</v>
      </c>
      <c r="W60" s="55">
        <v>1</v>
      </c>
      <c r="X60" s="176">
        <v>40</v>
      </c>
      <c r="Y60" s="177" t="s">
        <v>72</v>
      </c>
      <c r="Z60" s="178">
        <v>3</v>
      </c>
      <c r="AA60" s="62"/>
      <c r="AB60" s="31"/>
      <c r="AC60" s="51"/>
      <c r="AD60" s="48"/>
      <c r="AE60" s="31"/>
      <c r="AF60" s="51"/>
      <c r="AG60" s="64"/>
      <c r="AH60" s="31"/>
      <c r="AI60" s="45"/>
      <c r="AJ60" s="64"/>
      <c r="AK60" s="24"/>
      <c r="AL60" s="45"/>
      <c r="AM60" s="64"/>
      <c r="AN60" s="24"/>
      <c r="AO60" s="45"/>
      <c r="AP60" s="63"/>
      <c r="AQ60" s="28"/>
      <c r="AR60" s="51"/>
      <c r="AS60" s="40"/>
      <c r="AT60" s="31"/>
      <c r="AU60" s="51"/>
      <c r="AV60" s="64"/>
      <c r="AW60" s="32"/>
      <c r="AX60" s="45"/>
      <c r="AY60" s="64"/>
      <c r="AZ60" s="32"/>
      <c r="BA60" s="45"/>
      <c r="BB60" s="69"/>
      <c r="BC60" s="78"/>
      <c r="BD60" s="40"/>
      <c r="BE60" s="24"/>
      <c r="BF60" s="24"/>
      <c r="BG60" s="21"/>
      <c r="BH60" s="34"/>
      <c r="BI60" s="31"/>
      <c r="BJ60" s="31"/>
      <c r="BK60" s="31"/>
      <c r="BL60" s="31"/>
      <c r="BM60" s="45"/>
    </row>
    <row r="61" spans="1:65" x14ac:dyDescent="0.3">
      <c r="A61" s="43"/>
      <c r="B61" s="28"/>
      <c r="C61" s="25"/>
      <c r="D61" s="23"/>
      <c r="E61" s="37" t="s">
        <v>124</v>
      </c>
      <c r="F61" s="42"/>
      <c r="G61" s="31"/>
      <c r="H61" s="26"/>
      <c r="I61" s="29"/>
      <c r="J61" s="180"/>
      <c r="K61" s="40"/>
      <c r="L61" s="31"/>
      <c r="M61" s="31"/>
      <c r="N61" s="31"/>
      <c r="O61" s="45"/>
      <c r="P61" s="40"/>
      <c r="Q61" s="31"/>
      <c r="R61" s="31"/>
      <c r="S61" s="45"/>
      <c r="T61" s="141">
        <v>40</v>
      </c>
      <c r="U61" s="117" t="s">
        <v>72</v>
      </c>
      <c r="V61" s="142">
        <v>1</v>
      </c>
      <c r="W61" s="55">
        <v>1</v>
      </c>
      <c r="X61" s="123">
        <v>40</v>
      </c>
      <c r="Y61" s="124" t="s">
        <v>72</v>
      </c>
      <c r="Z61" s="125">
        <v>1</v>
      </c>
      <c r="AA61" s="62"/>
      <c r="AB61" s="31"/>
      <c r="AC61" s="51"/>
      <c r="AD61" s="48"/>
      <c r="AE61" s="31"/>
      <c r="AF61" s="51"/>
      <c r="AG61" s="64"/>
      <c r="AH61" s="31"/>
      <c r="AI61" s="45"/>
      <c r="AJ61" s="64"/>
      <c r="AK61" s="24"/>
      <c r="AL61" s="45"/>
      <c r="AM61" s="64"/>
      <c r="AN61" s="24"/>
      <c r="AO61" s="45"/>
      <c r="AP61" s="63"/>
      <c r="AQ61" s="28"/>
      <c r="AR61" s="51"/>
      <c r="AS61" s="40"/>
      <c r="AT61" s="31"/>
      <c r="AU61" s="51"/>
      <c r="AV61" s="64"/>
      <c r="AW61" s="32"/>
      <c r="AX61" s="45"/>
      <c r="AY61" s="64"/>
      <c r="AZ61" s="32"/>
      <c r="BA61" s="45"/>
      <c r="BB61" s="69"/>
      <c r="BC61" s="78"/>
      <c r="BD61" s="40"/>
      <c r="BE61" s="24"/>
      <c r="BF61" s="24"/>
      <c r="BG61" s="21"/>
      <c r="BH61" s="34"/>
      <c r="BI61" s="33"/>
      <c r="BJ61" s="33"/>
      <c r="BK61" s="33"/>
      <c r="BL61" s="33"/>
      <c r="BM61" s="149"/>
    </row>
    <row r="62" spans="1:65" x14ac:dyDescent="0.3">
      <c r="A62" s="43"/>
      <c r="B62" s="28"/>
      <c r="C62" s="25"/>
      <c r="D62" s="23"/>
      <c r="E62" s="38"/>
      <c r="F62" s="43"/>
      <c r="G62" s="25"/>
      <c r="H62" s="26"/>
      <c r="I62" s="29"/>
      <c r="J62" s="180"/>
      <c r="K62" s="63"/>
      <c r="L62" s="25"/>
      <c r="M62" s="25"/>
      <c r="N62" s="25"/>
      <c r="O62" s="126"/>
      <c r="P62" s="63"/>
      <c r="Q62" s="25"/>
      <c r="R62" s="25"/>
      <c r="S62" s="126"/>
      <c r="T62" s="107"/>
      <c r="U62" s="25"/>
      <c r="V62" s="127"/>
      <c r="W62" s="81"/>
      <c r="X62" s="128"/>
      <c r="Y62" s="23"/>
      <c r="Z62" s="129"/>
      <c r="AA62" s="130"/>
      <c r="AB62" s="25"/>
      <c r="AC62" s="127"/>
      <c r="AD62" s="107"/>
      <c r="AE62" s="25"/>
      <c r="AF62" s="127"/>
      <c r="AG62" s="131"/>
      <c r="AH62" s="25"/>
      <c r="AI62" s="126"/>
      <c r="AJ62" s="131"/>
      <c r="AK62" s="28"/>
      <c r="AL62" s="126"/>
      <c r="AM62" s="131"/>
      <c r="AN62" s="28"/>
      <c r="AO62" s="126"/>
      <c r="AP62" s="63"/>
      <c r="AQ62" s="28"/>
      <c r="AR62" s="127"/>
      <c r="AS62" s="63"/>
      <c r="AT62" s="25"/>
      <c r="AU62" s="127"/>
      <c r="AV62" s="131"/>
      <c r="AW62" s="132"/>
      <c r="AX62" s="126"/>
      <c r="AY62" s="131"/>
      <c r="AZ62" s="132"/>
      <c r="BA62" s="126"/>
      <c r="BB62" s="69"/>
      <c r="BC62" s="133"/>
      <c r="BD62" s="63"/>
      <c r="BE62" s="28"/>
      <c r="BF62" s="28"/>
      <c r="BG62" s="26"/>
      <c r="BH62" s="29"/>
      <c r="BI62" s="96"/>
      <c r="BJ62" s="96"/>
      <c r="BK62" s="96"/>
      <c r="BL62" s="96"/>
      <c r="BM62" s="151"/>
    </row>
    <row r="63" spans="1:65" x14ac:dyDescent="0.3">
      <c r="A63" s="43">
        <v>17</v>
      </c>
      <c r="B63" s="28">
        <v>1017</v>
      </c>
      <c r="C63" s="25" t="s">
        <v>49</v>
      </c>
      <c r="D63" s="25" t="s">
        <v>82</v>
      </c>
      <c r="E63" s="74" t="s">
        <v>124</v>
      </c>
      <c r="F63" s="42">
        <v>40</v>
      </c>
      <c r="G63" s="31" t="s">
        <v>72</v>
      </c>
      <c r="H63" s="26"/>
      <c r="I63" s="29"/>
      <c r="J63" s="180">
        <v>5</v>
      </c>
      <c r="K63" s="40"/>
      <c r="L63" s="31"/>
      <c r="M63" s="31"/>
      <c r="N63" s="31"/>
      <c r="O63" s="45"/>
      <c r="P63" s="40"/>
      <c r="Q63" s="31"/>
      <c r="R63" s="31"/>
      <c r="S63" s="45"/>
      <c r="T63" s="136">
        <v>40</v>
      </c>
      <c r="U63" s="118" t="s">
        <v>72</v>
      </c>
      <c r="V63" s="137">
        <v>1</v>
      </c>
      <c r="W63" s="55">
        <v>1</v>
      </c>
      <c r="X63" s="176">
        <v>40</v>
      </c>
      <c r="Y63" s="177" t="s">
        <v>72</v>
      </c>
      <c r="Z63" s="178">
        <v>2</v>
      </c>
      <c r="AA63" s="62"/>
      <c r="AB63" s="31"/>
      <c r="AC63" s="51"/>
      <c r="AD63" s="48"/>
      <c r="AE63" s="31"/>
      <c r="AF63" s="51"/>
      <c r="AG63" s="64"/>
      <c r="AH63" s="31"/>
      <c r="AI63" s="45"/>
      <c r="AJ63" s="64"/>
      <c r="AK63" s="24"/>
      <c r="AL63" s="45"/>
      <c r="AM63" s="64"/>
      <c r="AN63" s="24"/>
      <c r="AO63" s="45"/>
      <c r="AP63" s="63"/>
      <c r="AQ63" s="28"/>
      <c r="AR63" s="51"/>
      <c r="AS63" s="40"/>
      <c r="AT63" s="31"/>
      <c r="AU63" s="51"/>
      <c r="AV63" s="64"/>
      <c r="AW63" s="32"/>
      <c r="AX63" s="45"/>
      <c r="AY63" s="64"/>
      <c r="AZ63" s="32"/>
      <c r="BA63" s="45"/>
      <c r="BB63" s="69"/>
      <c r="BC63" s="78"/>
      <c r="BD63" s="40"/>
      <c r="BE63" s="24"/>
      <c r="BF63" s="24"/>
      <c r="BG63" s="21"/>
      <c r="BH63" s="34"/>
      <c r="BI63" s="31"/>
      <c r="BJ63" s="31"/>
      <c r="BK63" s="31"/>
      <c r="BL63" s="31"/>
      <c r="BM63" s="45"/>
    </row>
    <row r="64" spans="1:65" x14ac:dyDescent="0.3">
      <c r="A64" s="43"/>
      <c r="B64" s="28"/>
      <c r="C64" s="25"/>
      <c r="D64" s="25"/>
      <c r="E64" s="38" t="s">
        <v>124</v>
      </c>
      <c r="F64" s="42"/>
      <c r="G64" s="31"/>
      <c r="H64" s="26"/>
      <c r="I64" s="29"/>
      <c r="J64" s="180"/>
      <c r="K64" s="40"/>
      <c r="L64" s="31"/>
      <c r="M64" s="31"/>
      <c r="N64" s="31"/>
      <c r="O64" s="45"/>
      <c r="P64" s="40"/>
      <c r="Q64" s="31"/>
      <c r="R64" s="31"/>
      <c r="S64" s="45"/>
      <c r="T64" s="141">
        <v>40</v>
      </c>
      <c r="U64" s="117" t="s">
        <v>72</v>
      </c>
      <c r="V64" s="142">
        <v>1</v>
      </c>
      <c r="W64" s="55">
        <v>1</v>
      </c>
      <c r="X64" s="123">
        <v>40</v>
      </c>
      <c r="Y64" s="124" t="s">
        <v>72</v>
      </c>
      <c r="Z64" s="125">
        <v>1</v>
      </c>
      <c r="AA64" s="62"/>
      <c r="AB64" s="31"/>
      <c r="AC64" s="51"/>
      <c r="AD64" s="48"/>
      <c r="AE64" s="31"/>
      <c r="AF64" s="51"/>
      <c r="AG64" s="64"/>
      <c r="AH64" s="31"/>
      <c r="AI64" s="45"/>
      <c r="AJ64" s="64"/>
      <c r="AK64" s="24"/>
      <c r="AL64" s="45"/>
      <c r="AM64" s="64"/>
      <c r="AN64" s="24"/>
      <c r="AO64" s="45"/>
      <c r="AP64" s="63"/>
      <c r="AQ64" s="28"/>
      <c r="AR64" s="51"/>
      <c r="AS64" s="40"/>
      <c r="AT64" s="31"/>
      <c r="AU64" s="51"/>
      <c r="AV64" s="64"/>
      <c r="AW64" s="32"/>
      <c r="AX64" s="45"/>
      <c r="AY64" s="64"/>
      <c r="AZ64" s="32"/>
      <c r="BA64" s="45"/>
      <c r="BB64" s="69"/>
      <c r="BC64" s="78"/>
      <c r="BD64" s="40"/>
      <c r="BE64" s="24"/>
      <c r="BF64" s="24"/>
      <c r="BG64" s="21"/>
      <c r="BH64" s="34"/>
      <c r="BI64" s="31"/>
      <c r="BJ64" s="31"/>
      <c r="BK64" s="31"/>
      <c r="BL64" s="31"/>
      <c r="BM64" s="45"/>
    </row>
    <row r="65" spans="1:65" x14ac:dyDescent="0.3">
      <c r="A65" s="43"/>
      <c r="B65" s="28"/>
      <c r="C65" s="25"/>
      <c r="D65" s="25"/>
      <c r="E65" s="37"/>
      <c r="F65" s="42"/>
      <c r="G65" s="31"/>
      <c r="H65" s="26"/>
      <c r="I65" s="29"/>
      <c r="J65" s="180"/>
      <c r="K65" s="40"/>
      <c r="L65" s="31"/>
      <c r="M65" s="31"/>
      <c r="N65" s="31"/>
      <c r="O65" s="45"/>
      <c r="P65" s="40"/>
      <c r="Q65" s="31"/>
      <c r="R65" s="31"/>
      <c r="S65" s="45"/>
      <c r="T65" s="48"/>
      <c r="U65" s="31"/>
      <c r="V65" s="51"/>
      <c r="W65" s="55"/>
      <c r="X65" s="62"/>
      <c r="Y65" s="31"/>
      <c r="Z65" s="51"/>
      <c r="AA65" s="62"/>
      <c r="AB65" s="31"/>
      <c r="AC65" s="51"/>
      <c r="AD65" s="48"/>
      <c r="AE65" s="31"/>
      <c r="AF65" s="51"/>
      <c r="AG65" s="64"/>
      <c r="AH65" s="31"/>
      <c r="AI65" s="45"/>
      <c r="AJ65" s="64"/>
      <c r="AK65" s="24"/>
      <c r="AL65" s="45"/>
      <c r="AM65" s="64"/>
      <c r="AN65" s="24"/>
      <c r="AO65" s="45"/>
      <c r="AP65" s="63"/>
      <c r="AQ65" s="28"/>
      <c r="AR65" s="51"/>
      <c r="AS65" s="40"/>
      <c r="AT65" s="31"/>
      <c r="AU65" s="51"/>
      <c r="AV65" s="64"/>
      <c r="AW65" s="32"/>
      <c r="AX65" s="45"/>
      <c r="AY65" s="64"/>
      <c r="AZ65" s="32"/>
      <c r="BA65" s="45"/>
      <c r="BB65" s="69"/>
      <c r="BC65" s="78"/>
      <c r="BD65" s="40"/>
      <c r="BE65" s="24"/>
      <c r="BF65" s="24"/>
      <c r="BG65" s="21"/>
      <c r="BH65" s="34"/>
      <c r="BI65" s="33"/>
      <c r="BJ65" s="33"/>
      <c r="BK65" s="33"/>
      <c r="BL65" s="33"/>
      <c r="BM65" s="149"/>
    </row>
    <row r="66" spans="1:65" x14ac:dyDescent="0.3">
      <c r="A66" s="43">
        <v>18</v>
      </c>
      <c r="B66" s="28">
        <v>1018</v>
      </c>
      <c r="C66" s="25" t="s">
        <v>43</v>
      </c>
      <c r="D66" s="25" t="s">
        <v>65</v>
      </c>
      <c r="E66" s="75" t="s">
        <v>70</v>
      </c>
      <c r="F66" s="42">
        <v>80</v>
      </c>
      <c r="G66" s="31" t="s">
        <v>72</v>
      </c>
      <c r="H66" s="26"/>
      <c r="I66" s="29"/>
      <c r="J66" s="180">
        <v>7</v>
      </c>
      <c r="K66" s="40" t="s">
        <v>46</v>
      </c>
      <c r="L66" s="31" t="s">
        <v>50</v>
      </c>
      <c r="M66" s="31">
        <v>80</v>
      </c>
      <c r="N66" s="31" t="s">
        <v>72</v>
      </c>
      <c r="O66" s="45" t="s">
        <v>44</v>
      </c>
      <c r="P66" s="40"/>
      <c r="Q66" s="31"/>
      <c r="R66" s="31"/>
      <c r="S66" s="45"/>
      <c r="T66" s="136">
        <v>80</v>
      </c>
      <c r="U66" s="118" t="s">
        <v>72</v>
      </c>
      <c r="V66" s="137">
        <v>2</v>
      </c>
      <c r="W66" s="55">
        <v>2</v>
      </c>
      <c r="X66" s="176">
        <v>80</v>
      </c>
      <c r="Y66" s="177" t="s">
        <v>72</v>
      </c>
      <c r="Z66" s="178">
        <v>2</v>
      </c>
      <c r="AA66" s="62"/>
      <c r="AB66" s="31"/>
      <c r="AC66" s="51"/>
      <c r="AD66" s="48"/>
      <c r="AE66" s="31"/>
      <c r="AF66" s="51"/>
      <c r="AG66" s="64"/>
      <c r="AH66" s="31"/>
      <c r="AI66" s="45"/>
      <c r="AJ66" s="64"/>
      <c r="AK66" s="24"/>
      <c r="AL66" s="45"/>
      <c r="AM66" s="64"/>
      <c r="AN66" s="24"/>
      <c r="AO66" s="45"/>
      <c r="AP66" s="63"/>
      <c r="AQ66" s="28"/>
      <c r="AR66" s="51"/>
      <c r="AS66" s="40"/>
      <c r="AT66" s="31"/>
      <c r="AU66" s="51"/>
      <c r="AV66" s="64"/>
      <c r="AW66" s="32"/>
      <c r="AX66" s="45"/>
      <c r="AY66" s="64"/>
      <c r="AZ66" s="32"/>
      <c r="BA66" s="45"/>
      <c r="BB66" s="69"/>
      <c r="BC66" s="78"/>
      <c r="BD66" s="40"/>
      <c r="BE66" s="24"/>
      <c r="BF66" s="24"/>
      <c r="BG66" s="21"/>
      <c r="BH66" s="34"/>
      <c r="BI66" s="31"/>
      <c r="BJ66" s="31"/>
      <c r="BK66" s="31"/>
      <c r="BL66" s="31"/>
      <c r="BM66" s="45"/>
    </row>
    <row r="67" spans="1:65" x14ac:dyDescent="0.3">
      <c r="A67" s="43"/>
      <c r="B67" s="28"/>
      <c r="C67" s="25"/>
      <c r="D67" s="25"/>
      <c r="E67" s="37" t="s">
        <v>70</v>
      </c>
      <c r="F67" s="42"/>
      <c r="G67" s="31"/>
      <c r="H67" s="26"/>
      <c r="I67" s="29"/>
      <c r="J67" s="180"/>
      <c r="K67" s="40"/>
      <c r="L67" s="31"/>
      <c r="M67" s="31"/>
      <c r="N67" s="31"/>
      <c r="O67" s="45"/>
      <c r="P67" s="40"/>
      <c r="Q67" s="31"/>
      <c r="R67" s="31"/>
      <c r="S67" s="45"/>
      <c r="T67" s="143">
        <v>80</v>
      </c>
      <c r="U67" s="119" t="s">
        <v>72</v>
      </c>
      <c r="V67" s="144">
        <v>2</v>
      </c>
      <c r="W67" s="55">
        <v>1</v>
      </c>
      <c r="X67" s="123">
        <v>80</v>
      </c>
      <c r="Y67" s="124" t="s">
        <v>72</v>
      </c>
      <c r="Z67" s="125">
        <v>2</v>
      </c>
      <c r="AA67" s="62"/>
      <c r="AB67" s="31"/>
      <c r="AC67" s="51"/>
      <c r="AD67" s="48"/>
      <c r="AE67" s="31"/>
      <c r="AF67" s="51"/>
      <c r="AG67" s="64"/>
      <c r="AH67" s="31"/>
      <c r="AI67" s="45"/>
      <c r="AJ67" s="64"/>
      <c r="AK67" s="24"/>
      <c r="AL67" s="45"/>
      <c r="AM67" s="64"/>
      <c r="AN67" s="24"/>
      <c r="AO67" s="45"/>
      <c r="AP67" s="63"/>
      <c r="AQ67" s="28"/>
      <c r="AR67" s="51"/>
      <c r="AS67" s="40"/>
      <c r="AT67" s="31"/>
      <c r="AU67" s="51"/>
      <c r="AV67" s="64"/>
      <c r="AW67" s="32"/>
      <c r="AX67" s="45"/>
      <c r="AY67" s="64"/>
      <c r="AZ67" s="32"/>
      <c r="BA67" s="45"/>
      <c r="BB67" s="69"/>
      <c r="BC67" s="78"/>
      <c r="BD67" s="40"/>
      <c r="BE67" s="24"/>
      <c r="BF67" s="24"/>
      <c r="BG67" s="21"/>
      <c r="BH67" s="34"/>
      <c r="BI67" s="31"/>
      <c r="BJ67" s="31"/>
      <c r="BK67" s="31"/>
      <c r="BL67" s="31"/>
      <c r="BM67" s="45"/>
    </row>
    <row r="68" spans="1:65" x14ac:dyDescent="0.3">
      <c r="A68" s="43"/>
      <c r="B68" s="28"/>
      <c r="C68" s="30"/>
      <c r="D68" s="25"/>
      <c r="E68" s="37"/>
      <c r="F68" s="42"/>
      <c r="G68" s="31"/>
      <c r="H68" s="26"/>
      <c r="I68" s="29"/>
      <c r="J68" s="180"/>
      <c r="K68" s="40"/>
      <c r="L68" s="31"/>
      <c r="M68" s="31"/>
      <c r="N68" s="31"/>
      <c r="O68" s="45"/>
      <c r="P68" s="40"/>
      <c r="Q68" s="31"/>
      <c r="R68" s="31"/>
      <c r="S68" s="45"/>
      <c r="T68" s="48"/>
      <c r="U68" s="31"/>
      <c r="V68" s="51"/>
      <c r="W68" s="81"/>
      <c r="X68" s="62"/>
      <c r="Y68" s="31"/>
      <c r="Z68" s="51"/>
      <c r="AA68" s="62"/>
      <c r="AB68" s="31"/>
      <c r="AC68" s="51"/>
      <c r="AD68" s="48"/>
      <c r="AE68" s="31"/>
      <c r="AF68" s="51"/>
      <c r="AG68" s="64"/>
      <c r="AH68" s="31"/>
      <c r="AI68" s="45"/>
      <c r="AJ68" s="64"/>
      <c r="AK68" s="24"/>
      <c r="AL68" s="45"/>
      <c r="AM68" s="64"/>
      <c r="AN68" s="24"/>
      <c r="AO68" s="45"/>
      <c r="AP68" s="63"/>
      <c r="AQ68" s="28"/>
      <c r="AR68" s="51"/>
      <c r="AS68" s="40"/>
      <c r="AT68" s="31"/>
      <c r="AU68" s="51"/>
      <c r="AV68" s="64"/>
      <c r="AW68" s="32"/>
      <c r="AX68" s="45"/>
      <c r="AY68" s="64"/>
      <c r="AZ68" s="32"/>
      <c r="BA68" s="45"/>
      <c r="BB68" s="69"/>
      <c r="BC68" s="78"/>
      <c r="BD68" s="48"/>
      <c r="BE68" s="24"/>
      <c r="BF68" s="24"/>
      <c r="BG68" s="21"/>
      <c r="BH68" s="34"/>
      <c r="BI68" s="31"/>
      <c r="BJ68" s="31"/>
      <c r="BK68" s="31"/>
      <c r="BL68" s="31"/>
      <c r="BM68" s="45"/>
    </row>
    <row r="69" spans="1:65" x14ac:dyDescent="0.3">
      <c r="A69" s="43">
        <v>19</v>
      </c>
      <c r="B69" s="28">
        <v>1019</v>
      </c>
      <c r="C69" s="25" t="s">
        <v>65</v>
      </c>
      <c r="D69" s="25" t="s">
        <v>67</v>
      </c>
      <c r="E69" s="75" t="s">
        <v>70</v>
      </c>
      <c r="F69" s="42">
        <v>80</v>
      </c>
      <c r="G69" s="31" t="s">
        <v>72</v>
      </c>
      <c r="H69" s="26"/>
      <c r="I69" s="29"/>
      <c r="J69" s="180">
        <v>2</v>
      </c>
      <c r="K69" s="40" t="s">
        <v>46</v>
      </c>
      <c r="L69" s="31" t="s">
        <v>50</v>
      </c>
      <c r="M69" s="31">
        <v>80</v>
      </c>
      <c r="N69" s="31" t="s">
        <v>72</v>
      </c>
      <c r="O69" s="45" t="s">
        <v>44</v>
      </c>
      <c r="P69" s="40"/>
      <c r="Q69" s="31"/>
      <c r="R69" s="31"/>
      <c r="S69" s="45"/>
      <c r="T69" s="136">
        <v>80</v>
      </c>
      <c r="U69" s="118" t="s">
        <v>72</v>
      </c>
      <c r="V69" s="137">
        <v>1</v>
      </c>
      <c r="W69" s="81">
        <v>1</v>
      </c>
      <c r="X69" s="176">
        <v>80</v>
      </c>
      <c r="Y69" s="177" t="s">
        <v>72</v>
      </c>
      <c r="Z69" s="178">
        <v>1</v>
      </c>
      <c r="AA69" s="62"/>
      <c r="AB69" s="31"/>
      <c r="AC69" s="51"/>
      <c r="AD69" s="48"/>
      <c r="AE69" s="31"/>
      <c r="AF69" s="51"/>
      <c r="AG69" s="64"/>
      <c r="AH69" s="31"/>
      <c r="AI69" s="45"/>
      <c r="AJ69" s="64"/>
      <c r="AK69" s="24"/>
      <c r="AL69" s="45"/>
      <c r="AM69" s="64"/>
      <c r="AN69" s="24"/>
      <c r="AO69" s="45"/>
      <c r="AP69" s="63"/>
      <c r="AQ69" s="28"/>
      <c r="AR69" s="51"/>
      <c r="AS69" s="40"/>
      <c r="AT69" s="31"/>
      <c r="AU69" s="51"/>
      <c r="AV69" s="64"/>
      <c r="AW69" s="32"/>
      <c r="AX69" s="45"/>
      <c r="AY69" s="64"/>
      <c r="AZ69" s="32"/>
      <c r="BA69" s="45"/>
      <c r="BB69" s="69"/>
      <c r="BC69" s="78"/>
      <c r="BD69" s="48"/>
      <c r="BE69" s="24"/>
      <c r="BF69" s="24"/>
      <c r="BG69" s="21"/>
      <c r="BH69" s="34"/>
      <c r="BI69" s="31"/>
      <c r="BJ69" s="31"/>
      <c r="BK69" s="31"/>
      <c r="BL69" s="31"/>
      <c r="BM69" s="45"/>
    </row>
    <row r="70" spans="1:65" x14ac:dyDescent="0.3">
      <c r="A70" s="43"/>
      <c r="B70" s="28"/>
      <c r="C70" s="25"/>
      <c r="D70" s="25"/>
      <c r="E70" s="37" t="s">
        <v>70</v>
      </c>
      <c r="F70" s="42"/>
      <c r="G70" s="31"/>
      <c r="H70" s="26"/>
      <c r="I70" s="29"/>
      <c r="J70" s="180"/>
      <c r="K70" s="40"/>
      <c r="L70" s="31"/>
      <c r="M70" s="31"/>
      <c r="N70" s="31"/>
      <c r="O70" s="45"/>
      <c r="P70" s="40"/>
      <c r="Q70" s="31"/>
      <c r="R70" s="31"/>
      <c r="S70" s="45"/>
      <c r="T70" s="138">
        <v>80</v>
      </c>
      <c r="U70" s="120" t="s">
        <v>72</v>
      </c>
      <c r="V70" s="140">
        <v>1</v>
      </c>
      <c r="W70" s="81">
        <v>1</v>
      </c>
      <c r="X70" s="62"/>
      <c r="Y70" s="31"/>
      <c r="Z70" s="51"/>
      <c r="AA70" s="62"/>
      <c r="AB70" s="31"/>
      <c r="AC70" s="51"/>
      <c r="AD70" s="48"/>
      <c r="AE70" s="31"/>
      <c r="AF70" s="51"/>
      <c r="AG70" s="64"/>
      <c r="AH70" s="31"/>
      <c r="AI70" s="45"/>
      <c r="AJ70" s="64"/>
      <c r="AK70" s="24"/>
      <c r="AL70" s="45"/>
      <c r="AM70" s="64"/>
      <c r="AN70" s="24"/>
      <c r="AO70" s="45"/>
      <c r="AP70" s="63"/>
      <c r="AQ70" s="28"/>
      <c r="AR70" s="51"/>
      <c r="AS70" s="40"/>
      <c r="AT70" s="31"/>
      <c r="AU70" s="51"/>
      <c r="AV70" s="64"/>
      <c r="AW70" s="32"/>
      <c r="AX70" s="45"/>
      <c r="AY70" s="64"/>
      <c r="AZ70" s="32"/>
      <c r="BA70" s="45"/>
      <c r="BB70" s="69"/>
      <c r="BC70" s="78"/>
      <c r="BD70" s="40"/>
      <c r="BE70" s="24"/>
      <c r="BF70" s="24"/>
      <c r="BG70" s="21"/>
      <c r="BH70" s="34"/>
      <c r="BI70" s="33"/>
      <c r="BJ70" s="33"/>
      <c r="BK70" s="33"/>
      <c r="BL70" s="33"/>
      <c r="BM70" s="149"/>
    </row>
    <row r="71" spans="1:65" x14ac:dyDescent="0.3">
      <c r="A71" s="43"/>
      <c r="B71" s="28"/>
      <c r="C71" s="25"/>
      <c r="D71" s="25"/>
      <c r="E71" s="37" t="s">
        <v>70</v>
      </c>
      <c r="F71" s="42"/>
      <c r="G71" s="31"/>
      <c r="H71" s="26"/>
      <c r="I71" s="29"/>
      <c r="J71" s="180"/>
      <c r="K71" s="40"/>
      <c r="L71" s="31"/>
      <c r="M71" s="31"/>
      <c r="N71" s="31"/>
      <c r="O71" s="45"/>
      <c r="P71" s="40"/>
      <c r="Q71" s="31"/>
      <c r="R71" s="31"/>
      <c r="S71" s="45"/>
      <c r="T71" s="143">
        <v>80</v>
      </c>
      <c r="U71" s="119" t="s">
        <v>72</v>
      </c>
      <c r="V71" s="144">
        <v>2</v>
      </c>
      <c r="W71" s="81">
        <v>1</v>
      </c>
      <c r="X71" s="62"/>
      <c r="Y71" s="31"/>
      <c r="Z71" s="51"/>
      <c r="AA71" s="62"/>
      <c r="AB71" s="31"/>
      <c r="AC71" s="51"/>
      <c r="AD71" s="48"/>
      <c r="AE71" s="31"/>
      <c r="AF71" s="51"/>
      <c r="AG71" s="64"/>
      <c r="AH71" s="31"/>
      <c r="AI71" s="45"/>
      <c r="AJ71" s="64"/>
      <c r="AK71" s="24"/>
      <c r="AL71" s="45"/>
      <c r="AM71" s="64"/>
      <c r="AN71" s="24"/>
      <c r="AO71" s="45"/>
      <c r="AP71" s="63"/>
      <c r="AQ71" s="28"/>
      <c r="AR71" s="51"/>
      <c r="AS71" s="40"/>
      <c r="AT71" s="31"/>
      <c r="AU71" s="51"/>
      <c r="AV71" s="64"/>
      <c r="AW71" s="32"/>
      <c r="AX71" s="45"/>
      <c r="AY71" s="64"/>
      <c r="AZ71" s="32"/>
      <c r="BA71" s="45"/>
      <c r="BB71" s="69"/>
      <c r="BC71" s="78"/>
      <c r="BD71" s="40"/>
      <c r="BE71" s="24"/>
      <c r="BF71" s="24"/>
      <c r="BG71" s="21"/>
      <c r="BH71" s="34"/>
      <c r="BI71" s="33"/>
      <c r="BJ71" s="33"/>
      <c r="BK71" s="33"/>
      <c r="BL71" s="33"/>
      <c r="BM71" s="149"/>
    </row>
    <row r="72" spans="1:65" x14ac:dyDescent="0.3">
      <c r="A72" s="43"/>
      <c r="B72" s="28"/>
      <c r="C72" s="25"/>
      <c r="D72" s="25"/>
      <c r="E72" s="37"/>
      <c r="F72" s="42"/>
      <c r="G72" s="31"/>
      <c r="H72" s="26"/>
      <c r="I72" s="29"/>
      <c r="J72" s="180"/>
      <c r="K72" s="40"/>
      <c r="L72" s="31"/>
      <c r="M72" s="31"/>
      <c r="N72" s="31"/>
      <c r="O72" s="45"/>
      <c r="P72" s="40"/>
      <c r="Q72" s="31"/>
      <c r="R72" s="31"/>
      <c r="S72" s="45"/>
      <c r="T72" s="48"/>
      <c r="U72" s="31"/>
      <c r="V72" s="51"/>
      <c r="W72" s="55"/>
      <c r="X72" s="62"/>
      <c r="Y72" s="31"/>
      <c r="Z72" s="51"/>
      <c r="AA72" s="62"/>
      <c r="AB72" s="31"/>
      <c r="AC72" s="51"/>
      <c r="AD72" s="48"/>
      <c r="AE72" s="31"/>
      <c r="AF72" s="51"/>
      <c r="AG72" s="64"/>
      <c r="AH72" s="31"/>
      <c r="AI72" s="45"/>
      <c r="AJ72" s="64"/>
      <c r="AK72" s="24"/>
      <c r="AL72" s="45"/>
      <c r="AM72" s="64"/>
      <c r="AN72" s="24"/>
      <c r="AO72" s="45"/>
      <c r="AP72" s="63"/>
      <c r="AQ72" s="28"/>
      <c r="AR72" s="51"/>
      <c r="AS72" s="40"/>
      <c r="AT72" s="31"/>
      <c r="AU72" s="51"/>
      <c r="AV72" s="64"/>
      <c r="AW72" s="32"/>
      <c r="AX72" s="45"/>
      <c r="AY72" s="64"/>
      <c r="AZ72" s="32"/>
      <c r="BA72" s="45"/>
      <c r="BB72" s="69"/>
      <c r="BC72" s="78"/>
      <c r="BD72" s="40"/>
      <c r="BE72" s="24"/>
      <c r="BF72" s="24"/>
      <c r="BG72" s="21"/>
      <c r="BH72" s="34"/>
      <c r="BI72" s="33"/>
      <c r="BJ72" s="33"/>
      <c r="BK72" s="33"/>
      <c r="BL72" s="33"/>
      <c r="BM72" s="149"/>
    </row>
    <row r="73" spans="1:65" x14ac:dyDescent="0.3">
      <c r="A73" s="43">
        <v>20</v>
      </c>
      <c r="B73" s="28">
        <v>1020</v>
      </c>
      <c r="C73" s="25" t="s">
        <v>67</v>
      </c>
      <c r="D73" s="25" t="s">
        <v>90</v>
      </c>
      <c r="E73" s="75" t="s">
        <v>70</v>
      </c>
      <c r="F73" s="42">
        <v>80</v>
      </c>
      <c r="G73" s="31" t="s">
        <v>72</v>
      </c>
      <c r="H73" s="26"/>
      <c r="I73" s="29"/>
      <c r="J73" s="180">
        <v>2</v>
      </c>
      <c r="K73" s="40"/>
      <c r="L73" s="31"/>
      <c r="M73" s="31"/>
      <c r="N73" s="31"/>
      <c r="O73" s="45"/>
      <c r="P73" s="40"/>
      <c r="Q73" s="31"/>
      <c r="R73" s="31"/>
      <c r="S73" s="45"/>
      <c r="T73" s="138">
        <v>80</v>
      </c>
      <c r="U73" s="120" t="s">
        <v>72</v>
      </c>
      <c r="V73" s="140">
        <v>1</v>
      </c>
      <c r="W73" s="55">
        <v>1</v>
      </c>
      <c r="X73" s="123">
        <v>80</v>
      </c>
      <c r="Y73" s="124" t="s">
        <v>72</v>
      </c>
      <c r="Z73" s="125">
        <v>1</v>
      </c>
      <c r="AA73" s="62"/>
      <c r="AB73" s="31"/>
      <c r="AC73" s="51"/>
      <c r="AD73" s="48"/>
      <c r="AE73" s="31"/>
      <c r="AF73" s="51"/>
      <c r="AG73" s="64"/>
      <c r="AH73" s="31"/>
      <c r="AI73" s="45"/>
      <c r="AJ73" s="64"/>
      <c r="AK73" s="24"/>
      <c r="AL73" s="45"/>
      <c r="AM73" s="64"/>
      <c r="AN73" s="24"/>
      <c r="AO73" s="45"/>
      <c r="AP73" s="63"/>
      <c r="AQ73" s="28"/>
      <c r="AR73" s="51"/>
      <c r="AS73" s="40"/>
      <c r="AT73" s="31"/>
      <c r="AU73" s="51"/>
      <c r="AV73" s="64"/>
      <c r="AW73" s="32"/>
      <c r="AX73" s="45"/>
      <c r="AY73" s="64"/>
      <c r="AZ73" s="32"/>
      <c r="BA73" s="45"/>
      <c r="BB73" s="69"/>
      <c r="BC73" s="78"/>
      <c r="BD73" s="40"/>
      <c r="BE73" s="24"/>
      <c r="BF73" s="24"/>
      <c r="BG73" s="21"/>
      <c r="BH73" s="34"/>
      <c r="BI73" s="31"/>
      <c r="BJ73" s="31"/>
      <c r="BK73" s="31"/>
      <c r="BL73" s="31"/>
      <c r="BM73" s="45"/>
    </row>
    <row r="74" spans="1:65" x14ac:dyDescent="0.3">
      <c r="A74" s="43"/>
      <c r="B74" s="28"/>
      <c r="C74" s="23"/>
      <c r="D74" s="25"/>
      <c r="E74" s="38"/>
      <c r="F74" s="42"/>
      <c r="G74" s="31"/>
      <c r="H74" s="26"/>
      <c r="I74" s="29"/>
      <c r="J74" s="180"/>
      <c r="K74" s="40"/>
      <c r="L74" s="31"/>
      <c r="M74" s="31"/>
      <c r="N74" s="31"/>
      <c r="O74" s="45"/>
      <c r="P74" s="40"/>
      <c r="Q74" s="31"/>
      <c r="R74" s="31"/>
      <c r="S74" s="45"/>
      <c r="T74" s="48"/>
      <c r="U74" s="31"/>
      <c r="V74" s="51"/>
      <c r="W74" s="55"/>
      <c r="X74" s="62"/>
      <c r="Y74" s="31"/>
      <c r="Z74" s="51"/>
      <c r="AA74" s="62"/>
      <c r="AB74" s="31"/>
      <c r="AC74" s="51"/>
      <c r="AD74" s="48"/>
      <c r="AE74" s="31"/>
      <c r="AF74" s="51"/>
      <c r="AG74" s="64"/>
      <c r="AH74" s="31"/>
      <c r="AI74" s="45"/>
      <c r="AJ74" s="64"/>
      <c r="AK74" s="24"/>
      <c r="AL74" s="45"/>
      <c r="AM74" s="64"/>
      <c r="AN74" s="24"/>
      <c r="AO74" s="45"/>
      <c r="AP74" s="63"/>
      <c r="AQ74" s="28"/>
      <c r="AR74" s="51"/>
      <c r="AS74" s="40"/>
      <c r="AT74" s="31"/>
      <c r="AU74" s="51"/>
      <c r="AV74" s="64"/>
      <c r="AW74" s="32"/>
      <c r="AX74" s="45"/>
      <c r="AY74" s="64"/>
      <c r="AZ74" s="32"/>
      <c r="BA74" s="45"/>
      <c r="BB74" s="69"/>
      <c r="BC74" s="78"/>
      <c r="BD74" s="40"/>
      <c r="BE74" s="24"/>
      <c r="BF74" s="24"/>
      <c r="BG74" s="21"/>
      <c r="BH74" s="34"/>
      <c r="BI74" s="31"/>
      <c r="BJ74" s="31"/>
      <c r="BK74" s="31"/>
      <c r="BL74" s="31"/>
      <c r="BM74" s="45"/>
    </row>
    <row r="75" spans="1:65" x14ac:dyDescent="0.3">
      <c r="A75" s="43">
        <v>21</v>
      </c>
      <c r="B75" s="28"/>
      <c r="C75" s="23" t="s">
        <v>65</v>
      </c>
      <c r="D75" s="25" t="s">
        <v>89</v>
      </c>
      <c r="E75" s="74" t="s">
        <v>124</v>
      </c>
      <c r="F75" s="42">
        <v>40</v>
      </c>
      <c r="G75" s="31" t="s">
        <v>72</v>
      </c>
      <c r="H75" s="26"/>
      <c r="I75" s="29"/>
      <c r="J75" s="180">
        <v>3</v>
      </c>
      <c r="K75" s="40" t="s">
        <v>46</v>
      </c>
      <c r="L75" s="31" t="s">
        <v>47</v>
      </c>
      <c r="M75" s="31">
        <v>40</v>
      </c>
      <c r="N75" s="31" t="s">
        <v>72</v>
      </c>
      <c r="O75" s="45" t="s">
        <v>44</v>
      </c>
      <c r="P75" s="40"/>
      <c r="Q75" s="31"/>
      <c r="R75" s="31"/>
      <c r="S75" s="45"/>
      <c r="T75" s="136">
        <v>40</v>
      </c>
      <c r="U75" s="118" t="s">
        <v>72</v>
      </c>
      <c r="V75" s="137">
        <v>1</v>
      </c>
      <c r="W75" s="55">
        <v>1</v>
      </c>
      <c r="X75" s="123">
        <v>40</v>
      </c>
      <c r="Y75" s="124" t="s">
        <v>72</v>
      </c>
      <c r="Z75" s="125">
        <v>1</v>
      </c>
      <c r="AA75" s="62"/>
      <c r="AB75" s="31"/>
      <c r="AC75" s="51"/>
      <c r="AD75" s="48"/>
      <c r="AE75" s="31"/>
      <c r="AF75" s="51"/>
      <c r="AG75" s="64"/>
      <c r="AH75" s="31"/>
      <c r="AI75" s="45"/>
      <c r="AJ75" s="64"/>
      <c r="AK75" s="24"/>
      <c r="AL75" s="45"/>
      <c r="AM75" s="64"/>
      <c r="AN75" s="24"/>
      <c r="AO75" s="45"/>
      <c r="AP75" s="63"/>
      <c r="AQ75" s="28"/>
      <c r="AR75" s="51"/>
      <c r="AS75" s="40"/>
      <c r="AT75" s="31"/>
      <c r="AU75" s="51"/>
      <c r="AV75" s="64"/>
      <c r="AW75" s="32"/>
      <c r="AX75" s="45"/>
      <c r="AY75" s="64"/>
      <c r="AZ75" s="32"/>
      <c r="BA75" s="45"/>
      <c r="BB75" s="69"/>
      <c r="BC75" s="78"/>
      <c r="BD75" s="40"/>
      <c r="BE75" s="24"/>
      <c r="BF75" s="24"/>
      <c r="BG75" s="21"/>
      <c r="BH75" s="34"/>
      <c r="BI75" s="31"/>
      <c r="BJ75" s="31"/>
      <c r="BK75" s="31"/>
      <c r="BL75" s="31"/>
      <c r="BM75" s="45"/>
    </row>
    <row r="76" spans="1:65" ht="15" thickBot="1" x14ac:dyDescent="0.35">
      <c r="A76" s="152"/>
      <c r="B76" s="153"/>
      <c r="C76" s="154"/>
      <c r="D76" s="155"/>
      <c r="E76" s="156"/>
      <c r="F76" s="152"/>
      <c r="G76" s="155"/>
      <c r="H76" s="157"/>
      <c r="I76" s="158"/>
      <c r="J76" s="181"/>
      <c r="K76" s="159"/>
      <c r="L76" s="160"/>
      <c r="M76" s="160"/>
      <c r="N76" s="160"/>
      <c r="O76" s="161"/>
      <c r="P76" s="159"/>
      <c r="Q76" s="160"/>
      <c r="R76" s="160"/>
      <c r="S76" s="161"/>
      <c r="T76" s="162"/>
      <c r="U76" s="160"/>
      <c r="V76" s="163"/>
      <c r="W76" s="164"/>
      <c r="X76" s="165"/>
      <c r="Y76" s="160"/>
      <c r="Z76" s="163"/>
      <c r="AA76" s="165"/>
      <c r="AB76" s="160"/>
      <c r="AC76" s="163"/>
      <c r="AD76" s="162"/>
      <c r="AE76" s="160"/>
      <c r="AF76" s="163"/>
      <c r="AG76" s="166"/>
      <c r="AH76" s="160"/>
      <c r="AI76" s="161"/>
      <c r="AJ76" s="166"/>
      <c r="AK76" s="167"/>
      <c r="AL76" s="161"/>
      <c r="AM76" s="166"/>
      <c r="AN76" s="167"/>
      <c r="AO76" s="161"/>
      <c r="AP76" s="168"/>
      <c r="AQ76" s="153"/>
      <c r="AR76" s="163"/>
      <c r="AS76" s="159"/>
      <c r="AT76" s="160"/>
      <c r="AU76" s="163"/>
      <c r="AV76" s="166"/>
      <c r="AW76" s="169"/>
      <c r="AX76" s="161"/>
      <c r="AY76" s="166"/>
      <c r="AZ76" s="169"/>
      <c r="BA76" s="161"/>
      <c r="BB76" s="170"/>
      <c r="BC76" s="171"/>
      <c r="BD76" s="162"/>
      <c r="BE76" s="167"/>
      <c r="BF76" s="167"/>
      <c r="BG76" s="172"/>
      <c r="BH76" s="173"/>
      <c r="BI76" s="160"/>
      <c r="BJ76" s="160"/>
      <c r="BK76" s="160"/>
      <c r="BL76" s="160"/>
      <c r="BM76" s="161"/>
    </row>
    <row r="77" spans="1:65" x14ac:dyDescent="0.3">
      <c r="AO77" s="189"/>
      <c r="AP77" s="190"/>
      <c r="AQ77" s="35"/>
      <c r="AR77" s="189"/>
      <c r="BB77" s="35"/>
    </row>
    <row r="78" spans="1:65" x14ac:dyDescent="0.3">
      <c r="BB78" s="35"/>
    </row>
    <row r="79" spans="1:65" x14ac:dyDescent="0.3">
      <c r="BB79" s="35"/>
    </row>
    <row r="80" spans="1:65" x14ac:dyDescent="0.3">
      <c r="BB80" s="35"/>
    </row>
  </sheetData>
  <autoFilter ref="E1:BG80" xr:uid="{0BC3DAB5-0F11-4384-BAC4-E27A150ADFE2}"/>
  <mergeCells count="4">
    <mergeCell ref="C3:D3"/>
    <mergeCell ref="E3:E4"/>
    <mergeCell ref="BB3:BB4"/>
    <mergeCell ref="BC3:BC4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A0A2-36B1-4219-87DB-6583E70B20B0}">
  <dimension ref="A1:J116"/>
  <sheetViews>
    <sheetView topLeftCell="A74" workbookViewId="0">
      <selection sqref="A1:XFD1048576"/>
    </sheetView>
  </sheetViews>
  <sheetFormatPr defaultColWidth="8.88671875" defaultRowHeight="13.8" x14ac:dyDescent="0.25"/>
  <cols>
    <col min="1" max="1" width="8.88671875" style="94"/>
    <col min="2" max="2" width="31.44140625" style="94" customWidth="1"/>
    <col min="3" max="4" width="27.5546875" style="94" bestFit="1" customWidth="1"/>
    <col min="5" max="5" width="31.88671875" style="94" customWidth="1"/>
    <col min="6" max="6" width="25.109375" style="94" bestFit="1" customWidth="1"/>
    <col min="7" max="7" width="19.6640625" style="94" bestFit="1" customWidth="1"/>
    <col min="8" max="8" width="28.33203125" style="94" bestFit="1" customWidth="1"/>
    <col min="9" max="9" width="27.5546875" style="94" bestFit="1" customWidth="1"/>
    <col min="10" max="16384" width="8.88671875" style="94"/>
  </cols>
  <sheetData>
    <row r="1" spans="1:10" ht="15.6" thickBot="1" x14ac:dyDescent="0.3">
      <c r="A1" s="221" t="s">
        <v>128</v>
      </c>
      <c r="B1" s="222" t="s">
        <v>129</v>
      </c>
      <c r="C1" s="222"/>
      <c r="D1" s="222"/>
      <c r="E1" s="222"/>
      <c r="F1" s="222"/>
      <c r="G1" s="222"/>
      <c r="H1" s="222"/>
      <c r="I1" s="222"/>
      <c r="J1" s="223"/>
    </row>
    <row r="2" spans="1:10" ht="27.6" x14ac:dyDescent="0.25">
      <c r="A2" s="224">
        <v>1</v>
      </c>
      <c r="B2" s="225" t="s">
        <v>130</v>
      </c>
      <c r="C2" s="225" t="s">
        <v>131</v>
      </c>
      <c r="D2" s="225" t="s">
        <v>132</v>
      </c>
      <c r="E2" s="225" t="s">
        <v>133</v>
      </c>
      <c r="F2" s="226"/>
      <c r="G2" s="226"/>
      <c r="H2" s="226"/>
      <c r="I2" s="226"/>
      <c r="J2" s="227"/>
    </row>
    <row r="3" spans="1:10" x14ac:dyDescent="0.25">
      <c r="A3" s="228"/>
      <c r="B3" s="96" t="s">
        <v>30</v>
      </c>
      <c r="C3" s="229" t="s">
        <v>134</v>
      </c>
      <c r="D3" s="229" t="s">
        <v>135</v>
      </c>
      <c r="E3" s="230"/>
      <c r="F3" s="230"/>
      <c r="G3" s="230"/>
      <c r="H3" s="230"/>
      <c r="I3" s="230"/>
      <c r="J3" s="126" t="s">
        <v>136</v>
      </c>
    </row>
    <row r="4" spans="1:10" s="237" customFormat="1" ht="15" x14ac:dyDescent="0.25">
      <c r="A4" s="231"/>
      <c r="B4" s="232" t="s">
        <v>137</v>
      </c>
      <c r="C4" s="233">
        <v>1</v>
      </c>
      <c r="D4" s="233">
        <v>28</v>
      </c>
      <c r="E4" s="234"/>
      <c r="F4" s="235"/>
      <c r="G4" s="235"/>
      <c r="H4" s="235"/>
      <c r="I4" s="235"/>
      <c r="J4" s="236" t="s">
        <v>138</v>
      </c>
    </row>
    <row r="5" spans="1:10" x14ac:dyDescent="0.25">
      <c r="A5" s="238"/>
      <c r="C5" s="239"/>
      <c r="D5" s="239"/>
      <c r="E5" s="239"/>
      <c r="F5" s="239"/>
      <c r="G5" s="239"/>
      <c r="H5" s="239"/>
      <c r="I5" s="239"/>
      <c r="J5" s="240"/>
    </row>
    <row r="6" spans="1:10" ht="27.6" x14ac:dyDescent="0.25">
      <c r="A6" s="224">
        <v>2</v>
      </c>
      <c r="B6" s="225" t="s">
        <v>130</v>
      </c>
      <c r="C6" s="225" t="s">
        <v>139</v>
      </c>
      <c r="D6" s="225" t="s">
        <v>140</v>
      </c>
      <c r="E6" s="225" t="s">
        <v>141</v>
      </c>
      <c r="F6" s="226"/>
      <c r="G6" s="226"/>
      <c r="H6" s="226"/>
      <c r="I6" s="226"/>
      <c r="J6" s="227"/>
    </row>
    <row r="7" spans="1:10" x14ac:dyDescent="0.25">
      <c r="A7" s="228"/>
      <c r="B7" s="96" t="s">
        <v>30</v>
      </c>
      <c r="C7" s="229" t="s">
        <v>134</v>
      </c>
      <c r="D7" s="229" t="s">
        <v>142</v>
      </c>
      <c r="E7" s="229" t="s">
        <v>143</v>
      </c>
      <c r="F7" s="229" t="s">
        <v>135</v>
      </c>
      <c r="G7" s="230"/>
      <c r="H7" s="230"/>
      <c r="I7" s="230"/>
      <c r="J7" s="126" t="s">
        <v>136</v>
      </c>
    </row>
    <row r="8" spans="1:10" ht="15" x14ac:dyDescent="0.25">
      <c r="A8" s="231"/>
      <c r="B8" s="232" t="s">
        <v>137</v>
      </c>
      <c r="C8" s="241">
        <v>1</v>
      </c>
      <c r="D8" s="241">
        <v>4</v>
      </c>
      <c r="E8" s="241">
        <v>5</v>
      </c>
      <c r="F8" s="241">
        <v>4</v>
      </c>
      <c r="G8" s="235"/>
      <c r="H8" s="235"/>
      <c r="I8" s="235"/>
      <c r="J8" s="236" t="s">
        <v>138</v>
      </c>
    </row>
    <row r="9" spans="1:10" x14ac:dyDescent="0.25">
      <c r="A9" s="238"/>
      <c r="C9" s="239"/>
      <c r="D9" s="239"/>
      <c r="E9" s="239"/>
      <c r="F9" s="239"/>
      <c r="G9" s="239"/>
      <c r="H9" s="239"/>
      <c r="I9" s="239"/>
      <c r="J9" s="240"/>
    </row>
    <row r="10" spans="1:10" ht="27.6" x14ac:dyDescent="0.25">
      <c r="A10" s="224">
        <v>3</v>
      </c>
      <c r="B10" s="225" t="s">
        <v>130</v>
      </c>
      <c r="C10" s="225" t="s">
        <v>144</v>
      </c>
      <c r="D10" s="225" t="s">
        <v>145</v>
      </c>
      <c r="E10" s="225" t="s">
        <v>146</v>
      </c>
      <c r="F10" s="226"/>
      <c r="G10" s="226"/>
      <c r="H10" s="226"/>
      <c r="I10" s="226"/>
      <c r="J10" s="227"/>
    </row>
    <row r="11" spans="1:10" x14ac:dyDescent="0.25">
      <c r="A11" s="228"/>
      <c r="B11" s="96" t="s">
        <v>30</v>
      </c>
      <c r="C11" s="229" t="s">
        <v>134</v>
      </c>
      <c r="D11" s="229" t="s">
        <v>143</v>
      </c>
      <c r="E11" s="229" t="s">
        <v>135</v>
      </c>
      <c r="F11" s="230"/>
      <c r="G11" s="230"/>
      <c r="H11" s="230"/>
      <c r="I11" s="230"/>
      <c r="J11" s="126" t="s">
        <v>136</v>
      </c>
    </row>
    <row r="12" spans="1:10" ht="15" x14ac:dyDescent="0.25">
      <c r="A12" s="231"/>
      <c r="B12" s="232" t="s">
        <v>137</v>
      </c>
      <c r="C12" s="233">
        <v>14</v>
      </c>
      <c r="D12" s="233">
        <v>3</v>
      </c>
      <c r="E12" s="233">
        <v>1</v>
      </c>
      <c r="F12" s="235"/>
      <c r="G12" s="235"/>
      <c r="H12" s="235"/>
      <c r="I12" s="235"/>
      <c r="J12" s="236" t="s">
        <v>138</v>
      </c>
    </row>
    <row r="13" spans="1:10" ht="15" x14ac:dyDescent="0.25">
      <c r="A13" s="238"/>
      <c r="C13" s="239"/>
      <c r="D13" s="239"/>
      <c r="E13" s="239"/>
      <c r="F13" s="235"/>
      <c r="G13" s="239"/>
      <c r="H13" s="239"/>
      <c r="I13" s="239"/>
      <c r="J13" s="240"/>
    </row>
    <row r="14" spans="1:10" ht="47.4" customHeight="1" x14ac:dyDescent="0.25">
      <c r="A14" s="224">
        <v>4</v>
      </c>
      <c r="B14" s="225" t="s">
        <v>130</v>
      </c>
      <c r="C14" s="225" t="s">
        <v>144</v>
      </c>
      <c r="D14" s="225" t="s">
        <v>145</v>
      </c>
      <c r="E14" s="225" t="s">
        <v>147</v>
      </c>
      <c r="F14" s="226"/>
      <c r="G14" s="226"/>
      <c r="H14" s="226"/>
      <c r="I14" s="226"/>
      <c r="J14" s="227"/>
    </row>
    <row r="15" spans="1:10" x14ac:dyDescent="0.25">
      <c r="A15" s="228"/>
      <c r="B15" s="96" t="s">
        <v>30</v>
      </c>
      <c r="C15" s="229" t="s">
        <v>143</v>
      </c>
      <c r="D15" s="230"/>
      <c r="E15" s="230"/>
      <c r="F15" s="230"/>
      <c r="G15" s="230"/>
      <c r="H15" s="230"/>
      <c r="I15" s="230"/>
      <c r="J15" s="126" t="s">
        <v>136</v>
      </c>
    </row>
    <row r="16" spans="1:10" ht="15" x14ac:dyDescent="0.25">
      <c r="A16" s="231"/>
      <c r="B16" s="232" t="s">
        <v>137</v>
      </c>
      <c r="C16" s="233">
        <v>13</v>
      </c>
      <c r="D16" s="234"/>
      <c r="E16" s="234"/>
      <c r="F16" s="235"/>
      <c r="G16" s="235"/>
      <c r="H16" s="235"/>
      <c r="I16" s="235"/>
      <c r="J16" s="236" t="s">
        <v>138</v>
      </c>
    </row>
    <row r="17" spans="1:10" x14ac:dyDescent="0.25">
      <c r="A17" s="238"/>
      <c r="C17" s="239"/>
      <c r="D17" s="239"/>
      <c r="E17" s="239"/>
      <c r="F17" s="239"/>
      <c r="G17" s="239"/>
      <c r="H17" s="239"/>
      <c r="I17" s="239"/>
      <c r="J17" s="240"/>
    </row>
    <row r="18" spans="1:10" ht="27.6" x14ac:dyDescent="0.25">
      <c r="A18" s="224">
        <v>5</v>
      </c>
      <c r="B18" s="225" t="s">
        <v>130</v>
      </c>
      <c r="C18" s="225" t="s">
        <v>144</v>
      </c>
      <c r="D18" s="225" t="s">
        <v>145</v>
      </c>
      <c r="E18" s="225" t="s">
        <v>148</v>
      </c>
      <c r="F18" s="226"/>
      <c r="G18" s="226"/>
      <c r="H18" s="226"/>
      <c r="I18" s="226"/>
      <c r="J18" s="227"/>
    </row>
    <row r="19" spans="1:10" x14ac:dyDescent="0.25">
      <c r="A19" s="228"/>
      <c r="B19" s="96" t="s">
        <v>30</v>
      </c>
      <c r="C19" s="229" t="s">
        <v>149</v>
      </c>
      <c r="D19" s="230"/>
      <c r="E19" s="230"/>
      <c r="F19" s="230"/>
      <c r="G19" s="230"/>
      <c r="H19" s="230"/>
      <c r="I19" s="230"/>
      <c r="J19" s="126" t="s">
        <v>136</v>
      </c>
    </row>
    <row r="20" spans="1:10" ht="15" x14ac:dyDescent="0.25">
      <c r="A20" s="231"/>
      <c r="B20" s="232" t="s">
        <v>137</v>
      </c>
      <c r="C20" s="233">
        <v>11</v>
      </c>
      <c r="D20" s="234"/>
      <c r="E20" s="234"/>
      <c r="F20" s="235"/>
      <c r="G20" s="235"/>
      <c r="H20" s="235"/>
      <c r="I20" s="235"/>
      <c r="J20" s="236" t="s">
        <v>138</v>
      </c>
    </row>
    <row r="21" spans="1:10" x14ac:dyDescent="0.25">
      <c r="A21" s="238"/>
      <c r="C21" s="239"/>
      <c r="D21" s="239"/>
      <c r="E21" s="239"/>
      <c r="F21" s="239"/>
      <c r="G21" s="239"/>
      <c r="H21" s="239"/>
      <c r="I21" s="239"/>
      <c r="J21" s="240"/>
    </row>
    <row r="22" spans="1:10" ht="27.6" x14ac:dyDescent="0.25">
      <c r="A22" s="242">
        <v>6</v>
      </c>
      <c r="B22" s="243" t="s">
        <v>150</v>
      </c>
      <c r="C22" s="243" t="s">
        <v>151</v>
      </c>
      <c r="D22" s="243" t="s">
        <v>152</v>
      </c>
      <c r="E22" s="243" t="s">
        <v>133</v>
      </c>
      <c r="F22" s="244"/>
      <c r="G22" s="244"/>
      <c r="H22" s="244"/>
      <c r="I22" s="244"/>
      <c r="J22" s="245"/>
    </row>
    <row r="23" spans="1:10" x14ac:dyDescent="0.25">
      <c r="A23" s="228"/>
      <c r="B23" s="96" t="s">
        <v>30</v>
      </c>
      <c r="C23" s="229" t="s">
        <v>153</v>
      </c>
      <c r="D23" s="229" t="s">
        <v>154</v>
      </c>
      <c r="E23" s="229" t="s">
        <v>155</v>
      </c>
      <c r="F23" s="230"/>
      <c r="G23" s="230"/>
      <c r="H23" s="230"/>
      <c r="I23" s="230"/>
      <c r="J23" s="126" t="s">
        <v>136</v>
      </c>
    </row>
    <row r="24" spans="1:10" s="237" customFormat="1" ht="15" x14ac:dyDescent="0.25">
      <c r="A24" s="231"/>
      <c r="B24" s="232" t="s">
        <v>137</v>
      </c>
      <c r="C24" s="233">
        <v>1</v>
      </c>
      <c r="D24" s="233">
        <v>2</v>
      </c>
      <c r="E24" s="233">
        <v>1</v>
      </c>
      <c r="F24" s="235"/>
      <c r="G24" s="235"/>
      <c r="H24" s="235"/>
      <c r="I24" s="235"/>
      <c r="J24" s="236" t="s">
        <v>33</v>
      </c>
    </row>
    <row r="25" spans="1:10" x14ac:dyDescent="0.25">
      <c r="A25" s="238"/>
      <c r="C25" s="239"/>
      <c r="D25" s="239"/>
      <c r="E25" s="239"/>
      <c r="F25" s="239"/>
      <c r="G25" s="239"/>
      <c r="H25" s="239"/>
      <c r="I25" s="239"/>
      <c r="J25" s="246"/>
    </row>
    <row r="26" spans="1:10" ht="27.6" x14ac:dyDescent="0.25">
      <c r="A26" s="242">
        <v>7</v>
      </c>
      <c r="B26" s="243" t="s">
        <v>150</v>
      </c>
      <c r="C26" s="243" t="s">
        <v>151</v>
      </c>
      <c r="D26" s="243" t="s">
        <v>156</v>
      </c>
      <c r="E26" s="243" t="s">
        <v>141</v>
      </c>
      <c r="F26" s="244"/>
      <c r="G26" s="244"/>
      <c r="H26" s="244"/>
      <c r="I26" s="244"/>
      <c r="J26" s="245"/>
    </row>
    <row r="27" spans="1:10" x14ac:dyDescent="0.25">
      <c r="A27" s="228"/>
      <c r="B27" s="96" t="s">
        <v>30</v>
      </c>
      <c r="C27" s="229" t="s">
        <v>157</v>
      </c>
      <c r="D27" s="229"/>
      <c r="E27" s="229"/>
      <c r="F27" s="230"/>
      <c r="G27" s="230"/>
      <c r="H27" s="230"/>
      <c r="I27" s="230"/>
      <c r="J27" s="126" t="s">
        <v>136</v>
      </c>
    </row>
    <row r="28" spans="1:10" s="237" customFormat="1" ht="15" x14ac:dyDescent="0.25">
      <c r="A28" s="231"/>
      <c r="B28" s="232" t="s">
        <v>137</v>
      </c>
      <c r="C28" s="233">
        <v>1</v>
      </c>
      <c r="D28" s="233"/>
      <c r="E28" s="233"/>
      <c r="F28" s="235"/>
      <c r="G28" s="235"/>
      <c r="H28" s="235"/>
      <c r="I28" s="235"/>
      <c r="J28" s="236" t="s">
        <v>33</v>
      </c>
    </row>
    <row r="29" spans="1:10" x14ac:dyDescent="0.25">
      <c r="A29" s="238"/>
      <c r="C29" s="239"/>
      <c r="D29" s="239"/>
      <c r="E29" s="239"/>
      <c r="F29" s="239"/>
      <c r="G29" s="239"/>
      <c r="H29" s="239"/>
      <c r="I29" s="239"/>
      <c r="J29" s="246"/>
    </row>
    <row r="30" spans="1:10" ht="27.6" x14ac:dyDescent="0.25">
      <c r="A30" s="242">
        <v>8</v>
      </c>
      <c r="B30" s="243" t="s">
        <v>150</v>
      </c>
      <c r="C30" s="243" t="s">
        <v>151</v>
      </c>
      <c r="D30" s="243" t="s">
        <v>156</v>
      </c>
      <c r="E30" s="243" t="s">
        <v>146</v>
      </c>
      <c r="F30" s="244"/>
      <c r="G30" s="244"/>
      <c r="H30" s="244"/>
      <c r="I30" s="244"/>
      <c r="J30" s="245"/>
    </row>
    <row r="31" spans="1:10" x14ac:dyDescent="0.25">
      <c r="A31" s="228"/>
      <c r="B31" s="96" t="s">
        <v>30</v>
      </c>
      <c r="C31" s="229" t="s">
        <v>158</v>
      </c>
      <c r="D31" s="230"/>
      <c r="E31" s="230"/>
      <c r="F31" s="230"/>
      <c r="G31" s="230"/>
      <c r="H31" s="230"/>
      <c r="I31" s="230"/>
      <c r="J31" s="126" t="s">
        <v>136</v>
      </c>
    </row>
    <row r="32" spans="1:10" s="237" customFormat="1" ht="15" x14ac:dyDescent="0.25">
      <c r="A32" s="231"/>
      <c r="B32" s="232" t="s">
        <v>137</v>
      </c>
      <c r="C32" s="233">
        <v>1</v>
      </c>
      <c r="D32" s="247"/>
      <c r="E32" s="247"/>
      <c r="F32" s="235"/>
      <c r="G32" s="235"/>
      <c r="H32" s="235"/>
      <c r="I32" s="235"/>
      <c r="J32" s="236" t="s">
        <v>33</v>
      </c>
    </row>
    <row r="33" spans="1:10" x14ac:dyDescent="0.25">
      <c r="A33" s="238"/>
      <c r="C33" s="239"/>
      <c r="D33" s="239"/>
      <c r="E33" s="239"/>
      <c r="F33" s="239"/>
      <c r="G33" s="239"/>
      <c r="H33" s="239"/>
      <c r="I33" s="239"/>
      <c r="J33" s="246"/>
    </row>
    <row r="34" spans="1:10" ht="27.6" x14ac:dyDescent="0.25">
      <c r="A34" s="242">
        <v>9</v>
      </c>
      <c r="B34" s="243" t="s">
        <v>150</v>
      </c>
      <c r="C34" s="243" t="s">
        <v>159</v>
      </c>
      <c r="D34" s="243" t="s">
        <v>152</v>
      </c>
      <c r="E34" s="243" t="s">
        <v>133</v>
      </c>
      <c r="F34" s="244"/>
      <c r="G34" s="244"/>
      <c r="H34" s="244"/>
      <c r="I34" s="244"/>
      <c r="J34" s="245"/>
    </row>
    <row r="35" spans="1:10" x14ac:dyDescent="0.25">
      <c r="A35" s="228"/>
      <c r="B35" s="96" t="s">
        <v>30</v>
      </c>
      <c r="C35" s="229" t="s">
        <v>160</v>
      </c>
      <c r="D35" s="230"/>
      <c r="E35" s="230"/>
      <c r="F35" s="230"/>
      <c r="G35" s="230"/>
      <c r="H35" s="230"/>
      <c r="I35" s="230"/>
      <c r="J35" s="126" t="s">
        <v>136</v>
      </c>
    </row>
    <row r="36" spans="1:10" s="237" customFormat="1" ht="15" x14ac:dyDescent="0.25">
      <c r="A36" s="231"/>
      <c r="B36" s="232" t="s">
        <v>137</v>
      </c>
      <c r="C36" s="233">
        <v>1</v>
      </c>
      <c r="D36" s="247"/>
      <c r="E36" s="247"/>
      <c r="F36" s="235"/>
      <c r="G36" s="235"/>
      <c r="H36" s="235"/>
      <c r="I36" s="235"/>
      <c r="J36" s="236" t="s">
        <v>33</v>
      </c>
    </row>
    <row r="37" spans="1:10" x14ac:dyDescent="0.25">
      <c r="A37" s="238"/>
      <c r="C37" s="239"/>
      <c r="D37" s="239"/>
      <c r="E37" s="239"/>
      <c r="F37" s="239"/>
      <c r="G37" s="239"/>
      <c r="H37" s="239"/>
      <c r="I37" s="239"/>
      <c r="J37" s="246"/>
    </row>
    <row r="38" spans="1:10" ht="27.6" x14ac:dyDescent="0.25">
      <c r="A38" s="224">
        <v>10</v>
      </c>
      <c r="B38" s="225" t="s">
        <v>161</v>
      </c>
      <c r="C38" s="225" t="s">
        <v>162</v>
      </c>
      <c r="D38" s="225" t="s">
        <v>131</v>
      </c>
      <c r="E38" s="225" t="s">
        <v>133</v>
      </c>
      <c r="F38" s="226"/>
      <c r="G38" s="226"/>
      <c r="H38" s="226"/>
      <c r="I38" s="226"/>
      <c r="J38" s="227"/>
    </row>
    <row r="39" spans="1:10" x14ac:dyDescent="0.25">
      <c r="A39" s="228"/>
      <c r="B39" s="96" t="s">
        <v>30</v>
      </c>
      <c r="C39" s="229" t="s">
        <v>142</v>
      </c>
      <c r="D39" s="229" t="s">
        <v>135</v>
      </c>
      <c r="E39" s="229" t="s">
        <v>163</v>
      </c>
      <c r="F39" s="229" t="s">
        <v>149</v>
      </c>
      <c r="G39" s="230"/>
      <c r="H39" s="230"/>
      <c r="I39" s="230"/>
      <c r="J39" s="126" t="s">
        <v>136</v>
      </c>
    </row>
    <row r="40" spans="1:10" s="237" customFormat="1" ht="15" x14ac:dyDescent="0.25">
      <c r="A40" s="231"/>
      <c r="B40" s="232" t="s">
        <v>137</v>
      </c>
      <c r="C40" s="233">
        <v>2</v>
      </c>
      <c r="D40" s="233">
        <v>6</v>
      </c>
      <c r="E40" s="233">
        <v>2</v>
      </c>
      <c r="F40" s="233">
        <v>1</v>
      </c>
      <c r="G40" s="235"/>
      <c r="H40" s="235"/>
      <c r="I40" s="235"/>
      <c r="J40" s="236" t="s">
        <v>33</v>
      </c>
    </row>
    <row r="41" spans="1:10" s="237" customFormat="1" ht="15" x14ac:dyDescent="0.25">
      <c r="A41" s="248"/>
      <c r="C41" s="249"/>
      <c r="D41" s="249"/>
      <c r="E41" s="249"/>
      <c r="F41" s="250"/>
      <c r="G41" s="250"/>
      <c r="H41" s="250"/>
      <c r="I41" s="250"/>
      <c r="J41" s="251"/>
    </row>
    <row r="42" spans="1:10" ht="27.6" x14ac:dyDescent="0.25">
      <c r="A42" s="224">
        <v>11</v>
      </c>
      <c r="B42" s="225" t="s">
        <v>161</v>
      </c>
      <c r="C42" s="225" t="s">
        <v>162</v>
      </c>
      <c r="D42" s="225" t="s">
        <v>144</v>
      </c>
      <c r="E42" s="225" t="s">
        <v>141</v>
      </c>
      <c r="F42" s="226"/>
      <c r="G42" s="226"/>
      <c r="H42" s="226"/>
      <c r="I42" s="226"/>
      <c r="J42" s="227"/>
    </row>
    <row r="43" spans="1:10" x14ac:dyDescent="0.25">
      <c r="A43" s="228"/>
      <c r="B43" s="96" t="s">
        <v>30</v>
      </c>
      <c r="C43" s="229" t="s">
        <v>134</v>
      </c>
      <c r="D43" s="229" t="s">
        <v>142</v>
      </c>
      <c r="E43" s="229" t="s">
        <v>143</v>
      </c>
      <c r="F43" s="229" t="s">
        <v>135</v>
      </c>
      <c r="G43" s="230"/>
      <c r="H43" s="230"/>
      <c r="I43" s="230"/>
      <c r="J43" s="126" t="s">
        <v>136</v>
      </c>
    </row>
    <row r="44" spans="1:10" s="237" customFormat="1" ht="15" x14ac:dyDescent="0.25">
      <c r="A44" s="231"/>
      <c r="B44" s="232" t="s">
        <v>137</v>
      </c>
      <c r="C44" s="233">
        <v>2</v>
      </c>
      <c r="D44" s="233">
        <v>3</v>
      </c>
      <c r="E44" s="233">
        <v>2</v>
      </c>
      <c r="F44" s="233">
        <v>5</v>
      </c>
      <c r="G44" s="235"/>
      <c r="H44" s="235"/>
      <c r="I44" s="235"/>
      <c r="J44" s="236" t="s">
        <v>33</v>
      </c>
    </row>
    <row r="45" spans="1:10" s="237" customFormat="1" ht="15" x14ac:dyDescent="0.25">
      <c r="A45" s="248"/>
      <c r="C45" s="249"/>
      <c r="D45" s="249"/>
      <c r="E45" s="249"/>
      <c r="F45" s="250"/>
      <c r="G45" s="250"/>
      <c r="H45" s="250"/>
      <c r="I45" s="250"/>
      <c r="J45" s="251"/>
    </row>
    <row r="46" spans="1:10" ht="27.6" x14ac:dyDescent="0.25">
      <c r="A46" s="224">
        <v>12</v>
      </c>
      <c r="B46" s="225" t="s">
        <v>161</v>
      </c>
      <c r="C46" s="225" t="s">
        <v>162</v>
      </c>
      <c r="D46" s="225" t="s">
        <v>144</v>
      </c>
      <c r="E46" s="225" t="s">
        <v>146</v>
      </c>
      <c r="F46" s="226"/>
      <c r="G46" s="226"/>
      <c r="H46" s="226"/>
      <c r="I46" s="226"/>
      <c r="J46" s="227"/>
    </row>
    <row r="47" spans="1:10" x14ac:dyDescent="0.25">
      <c r="A47" s="228"/>
      <c r="B47" s="96" t="s">
        <v>30</v>
      </c>
      <c r="C47" s="229" t="s">
        <v>134</v>
      </c>
      <c r="D47" s="229" t="s">
        <v>142</v>
      </c>
      <c r="E47" s="229" t="s">
        <v>143</v>
      </c>
      <c r="F47" s="229" t="s">
        <v>135</v>
      </c>
      <c r="G47" s="230"/>
      <c r="H47" s="230"/>
      <c r="I47" s="230"/>
      <c r="J47" s="126" t="s">
        <v>136</v>
      </c>
    </row>
    <row r="48" spans="1:10" s="237" customFormat="1" ht="15" x14ac:dyDescent="0.25">
      <c r="A48" s="231"/>
      <c r="B48" s="232" t="s">
        <v>137</v>
      </c>
      <c r="C48" s="233">
        <v>18</v>
      </c>
      <c r="D48" s="233">
        <v>1</v>
      </c>
      <c r="E48" s="233">
        <v>2</v>
      </c>
      <c r="F48" s="233">
        <v>1</v>
      </c>
      <c r="G48" s="235"/>
      <c r="H48" s="235"/>
      <c r="I48" s="235"/>
      <c r="J48" s="236" t="s">
        <v>33</v>
      </c>
    </row>
    <row r="49" spans="1:10" s="237" customFormat="1" ht="15" x14ac:dyDescent="0.25">
      <c r="A49" s="248"/>
      <c r="C49" s="249"/>
      <c r="D49" s="249"/>
      <c r="E49" s="249"/>
      <c r="F49" s="250"/>
      <c r="G49" s="250"/>
      <c r="H49" s="250"/>
      <c r="I49" s="250"/>
      <c r="J49" s="251"/>
    </row>
    <row r="50" spans="1:10" ht="27.6" x14ac:dyDescent="0.25">
      <c r="A50" s="224">
        <v>13</v>
      </c>
      <c r="B50" s="225" t="s">
        <v>161</v>
      </c>
      <c r="C50" s="225" t="s">
        <v>162</v>
      </c>
      <c r="D50" s="225" t="s">
        <v>144</v>
      </c>
      <c r="E50" s="225" t="s">
        <v>147</v>
      </c>
      <c r="F50" s="226"/>
      <c r="G50" s="226"/>
      <c r="H50" s="226"/>
      <c r="I50" s="226"/>
      <c r="J50" s="227"/>
    </row>
    <row r="51" spans="1:10" x14ac:dyDescent="0.25">
      <c r="A51" s="228"/>
      <c r="B51" s="96" t="s">
        <v>30</v>
      </c>
      <c r="C51" s="229" t="s">
        <v>143</v>
      </c>
      <c r="D51" s="230"/>
      <c r="E51" s="230"/>
      <c r="F51" s="230"/>
      <c r="G51" s="230"/>
      <c r="H51" s="230"/>
      <c r="I51" s="230"/>
      <c r="J51" s="126" t="s">
        <v>136</v>
      </c>
    </row>
    <row r="52" spans="1:10" s="237" customFormat="1" ht="15" x14ac:dyDescent="0.25">
      <c r="A52" s="231"/>
      <c r="B52" s="232" t="s">
        <v>137</v>
      </c>
      <c r="C52" s="233">
        <v>5</v>
      </c>
      <c r="D52" s="234"/>
      <c r="E52" s="234"/>
      <c r="F52" s="235"/>
      <c r="G52" s="235"/>
      <c r="H52" s="235"/>
      <c r="I52" s="235"/>
      <c r="J52" s="236" t="s">
        <v>33</v>
      </c>
    </row>
    <row r="53" spans="1:10" s="237" customFormat="1" ht="15" x14ac:dyDescent="0.25">
      <c r="A53" s="248"/>
      <c r="C53" s="249"/>
      <c r="D53" s="249"/>
      <c r="E53" s="249"/>
      <c r="F53" s="250"/>
      <c r="G53" s="250"/>
      <c r="H53" s="250"/>
      <c r="I53" s="250"/>
      <c r="J53" s="251"/>
    </row>
    <row r="54" spans="1:10" ht="27.6" x14ac:dyDescent="0.25">
      <c r="A54" s="224">
        <v>14</v>
      </c>
      <c r="B54" s="225" t="s">
        <v>161</v>
      </c>
      <c r="C54" s="225" t="s">
        <v>162</v>
      </c>
      <c r="D54" s="225" t="s">
        <v>144</v>
      </c>
      <c r="E54" s="225" t="s">
        <v>164</v>
      </c>
      <c r="F54" s="226"/>
      <c r="G54" s="226"/>
      <c r="H54" s="226"/>
      <c r="I54" s="226"/>
      <c r="J54" s="227"/>
    </row>
    <row r="55" spans="1:10" x14ac:dyDescent="0.25">
      <c r="A55" s="228"/>
      <c r="B55" s="96" t="s">
        <v>30</v>
      </c>
      <c r="C55" s="229" t="s">
        <v>149</v>
      </c>
      <c r="D55" s="230"/>
      <c r="E55" s="230"/>
      <c r="F55" s="230"/>
      <c r="G55" s="230"/>
      <c r="H55" s="230"/>
      <c r="I55" s="230"/>
      <c r="J55" s="126" t="s">
        <v>136</v>
      </c>
    </row>
    <row r="56" spans="1:10" s="237" customFormat="1" ht="15" x14ac:dyDescent="0.25">
      <c r="A56" s="231"/>
      <c r="B56" s="232" t="s">
        <v>137</v>
      </c>
      <c r="C56" s="233">
        <v>9</v>
      </c>
      <c r="D56" s="234"/>
      <c r="E56" s="234"/>
      <c r="F56" s="235"/>
      <c r="G56" s="235"/>
      <c r="H56" s="235"/>
      <c r="I56" s="235"/>
      <c r="J56" s="236" t="s">
        <v>33</v>
      </c>
    </row>
    <row r="57" spans="1:10" s="237" customFormat="1" ht="15" x14ac:dyDescent="0.25">
      <c r="A57" s="248"/>
      <c r="C57" s="249"/>
      <c r="D57" s="249"/>
      <c r="E57" s="249"/>
      <c r="F57" s="250"/>
      <c r="G57" s="250"/>
      <c r="H57" s="250"/>
      <c r="I57" s="250"/>
      <c r="J57" s="251"/>
    </row>
    <row r="58" spans="1:10" ht="27.6" x14ac:dyDescent="0.25">
      <c r="A58" s="224">
        <v>15</v>
      </c>
      <c r="B58" s="225" t="s">
        <v>165</v>
      </c>
      <c r="C58" s="225" t="s">
        <v>162</v>
      </c>
      <c r="D58" s="225" t="s">
        <v>144</v>
      </c>
      <c r="E58" s="225" t="s">
        <v>141</v>
      </c>
      <c r="F58" s="226"/>
      <c r="G58" s="226"/>
      <c r="H58" s="226"/>
      <c r="I58" s="226"/>
      <c r="J58" s="227"/>
    </row>
    <row r="59" spans="1:10" x14ac:dyDescent="0.25">
      <c r="A59" s="228"/>
      <c r="B59" s="96" t="s">
        <v>30</v>
      </c>
      <c r="C59" s="229" t="s">
        <v>135</v>
      </c>
      <c r="D59" s="230"/>
      <c r="E59" s="230"/>
      <c r="F59" s="230"/>
      <c r="G59" s="230"/>
      <c r="H59" s="230"/>
      <c r="I59" s="230"/>
      <c r="J59" s="126" t="s">
        <v>136</v>
      </c>
    </row>
    <row r="60" spans="1:10" s="237" customFormat="1" ht="15" x14ac:dyDescent="0.25">
      <c r="A60" s="231"/>
      <c r="B60" s="232" t="s">
        <v>137</v>
      </c>
      <c r="C60" s="233">
        <v>1</v>
      </c>
      <c r="D60" s="234"/>
      <c r="E60" s="234"/>
      <c r="F60" s="235"/>
      <c r="G60" s="235"/>
      <c r="H60" s="235"/>
      <c r="I60" s="235"/>
      <c r="J60" s="236" t="s">
        <v>33</v>
      </c>
    </row>
    <row r="61" spans="1:10" s="237" customFormat="1" ht="15" x14ac:dyDescent="0.25">
      <c r="A61" s="248"/>
      <c r="C61" s="249"/>
      <c r="D61" s="249"/>
      <c r="E61" s="249"/>
      <c r="F61" s="250"/>
      <c r="G61" s="250"/>
      <c r="H61" s="250"/>
      <c r="I61" s="250"/>
      <c r="J61" s="251"/>
    </row>
    <row r="62" spans="1:10" ht="27.6" x14ac:dyDescent="0.25">
      <c r="A62" s="224">
        <v>16</v>
      </c>
      <c r="B62" s="225" t="s">
        <v>165</v>
      </c>
      <c r="C62" s="225" t="s">
        <v>162</v>
      </c>
      <c r="D62" s="225" t="s">
        <v>144</v>
      </c>
      <c r="E62" s="225" t="s">
        <v>146</v>
      </c>
      <c r="F62" s="226"/>
      <c r="G62" s="226"/>
      <c r="H62" s="226"/>
      <c r="I62" s="226"/>
      <c r="J62" s="227"/>
    </row>
    <row r="63" spans="1:10" x14ac:dyDescent="0.25">
      <c r="A63" s="228"/>
      <c r="B63" s="96" t="s">
        <v>30</v>
      </c>
      <c r="C63" s="229" t="s">
        <v>143</v>
      </c>
      <c r="D63" s="230"/>
      <c r="E63" s="230"/>
      <c r="F63" s="230"/>
      <c r="G63" s="230"/>
      <c r="H63" s="230"/>
      <c r="I63" s="230"/>
      <c r="J63" s="126" t="s">
        <v>136</v>
      </c>
    </row>
    <row r="64" spans="1:10" s="237" customFormat="1" ht="15" x14ac:dyDescent="0.25">
      <c r="A64" s="231"/>
      <c r="B64" s="232" t="s">
        <v>137</v>
      </c>
      <c r="C64" s="233">
        <v>2</v>
      </c>
      <c r="D64" s="234"/>
      <c r="E64" s="234"/>
      <c r="F64" s="235"/>
      <c r="G64" s="235"/>
      <c r="H64" s="235"/>
      <c r="I64" s="235"/>
      <c r="J64" s="236" t="s">
        <v>33</v>
      </c>
    </row>
    <row r="65" spans="1:10" s="237" customFormat="1" ht="15" x14ac:dyDescent="0.25">
      <c r="A65" s="248"/>
      <c r="C65" s="249"/>
      <c r="D65" s="249"/>
      <c r="E65" s="249"/>
      <c r="F65" s="250"/>
      <c r="G65" s="250"/>
      <c r="H65" s="250"/>
      <c r="I65" s="250"/>
      <c r="J65" s="251"/>
    </row>
    <row r="66" spans="1:10" ht="27.6" x14ac:dyDescent="0.25">
      <c r="A66" s="242">
        <v>17</v>
      </c>
      <c r="B66" s="243" t="s">
        <v>6</v>
      </c>
      <c r="C66" s="243" t="s">
        <v>166</v>
      </c>
      <c r="D66" s="243" t="s">
        <v>152</v>
      </c>
      <c r="E66" s="243" t="s">
        <v>133</v>
      </c>
      <c r="F66" s="244"/>
      <c r="G66" s="244"/>
      <c r="H66" s="244"/>
      <c r="I66" s="244"/>
      <c r="J66" s="245"/>
    </row>
    <row r="67" spans="1:10" x14ac:dyDescent="0.25">
      <c r="A67" s="228"/>
      <c r="B67" s="96" t="s">
        <v>30</v>
      </c>
      <c r="C67" s="229" t="s">
        <v>135</v>
      </c>
      <c r="D67" s="230"/>
      <c r="E67" s="230"/>
      <c r="F67" s="230"/>
      <c r="G67" s="230"/>
      <c r="H67" s="230"/>
      <c r="I67" s="252"/>
      <c r="J67" s="126" t="s">
        <v>136</v>
      </c>
    </row>
    <row r="68" spans="1:10" s="237" customFormat="1" ht="15" x14ac:dyDescent="0.25">
      <c r="A68" s="231"/>
      <c r="B68" s="232" t="s">
        <v>137</v>
      </c>
      <c r="C68" s="233">
        <v>15</v>
      </c>
      <c r="D68" s="247"/>
      <c r="E68" s="247"/>
      <c r="F68" s="235"/>
      <c r="G68" s="235"/>
      <c r="H68" s="235"/>
      <c r="I68" s="253"/>
      <c r="J68" s="236" t="s">
        <v>33</v>
      </c>
    </row>
    <row r="69" spans="1:10" x14ac:dyDescent="0.25">
      <c r="A69" s="238"/>
      <c r="C69" s="239"/>
      <c r="D69" s="239"/>
      <c r="E69" s="239"/>
      <c r="F69" s="239"/>
      <c r="G69" s="239"/>
      <c r="H69" s="239"/>
      <c r="I69" s="239"/>
      <c r="J69" s="246"/>
    </row>
    <row r="70" spans="1:10" ht="27.6" x14ac:dyDescent="0.25">
      <c r="A70" s="242">
        <v>18</v>
      </c>
      <c r="B70" s="243" t="s">
        <v>6</v>
      </c>
      <c r="C70" s="243" t="s">
        <v>166</v>
      </c>
      <c r="D70" s="243" t="s">
        <v>156</v>
      </c>
      <c r="E70" s="243" t="s">
        <v>141</v>
      </c>
      <c r="F70" s="244"/>
      <c r="G70" s="244"/>
      <c r="H70" s="244"/>
      <c r="I70" s="244"/>
      <c r="J70" s="245"/>
    </row>
    <row r="71" spans="1:10" x14ac:dyDescent="0.25">
      <c r="A71" s="228"/>
      <c r="B71" s="96" t="s">
        <v>30</v>
      </c>
      <c r="C71" s="229" t="s">
        <v>134</v>
      </c>
      <c r="D71" s="229" t="s">
        <v>142</v>
      </c>
      <c r="E71" s="229" t="s">
        <v>143</v>
      </c>
      <c r="F71" s="229" t="s">
        <v>135</v>
      </c>
      <c r="G71" s="230"/>
      <c r="H71" s="230"/>
      <c r="I71" s="252"/>
      <c r="J71" s="126" t="s">
        <v>136</v>
      </c>
    </row>
    <row r="72" spans="1:10" s="237" customFormat="1" ht="15" x14ac:dyDescent="0.25">
      <c r="A72" s="231"/>
      <c r="B72" s="232" t="s">
        <v>137</v>
      </c>
      <c r="C72" s="233">
        <v>1</v>
      </c>
      <c r="D72" s="233">
        <v>3</v>
      </c>
      <c r="E72" s="233">
        <v>3</v>
      </c>
      <c r="F72" s="233">
        <v>1</v>
      </c>
      <c r="G72" s="235"/>
      <c r="H72" s="235"/>
      <c r="I72" s="253"/>
      <c r="J72" s="236" t="s">
        <v>33</v>
      </c>
    </row>
    <row r="73" spans="1:10" x14ac:dyDescent="0.25">
      <c r="A73" s="238"/>
      <c r="C73" s="239"/>
      <c r="D73" s="239"/>
      <c r="E73" s="239"/>
      <c r="F73" s="239"/>
      <c r="G73" s="239"/>
      <c r="H73" s="239"/>
      <c r="I73" s="239"/>
      <c r="J73" s="246"/>
    </row>
    <row r="74" spans="1:10" ht="27.6" x14ac:dyDescent="0.25">
      <c r="A74" s="242">
        <v>19</v>
      </c>
      <c r="B74" s="243" t="s">
        <v>6</v>
      </c>
      <c r="C74" s="243" t="s">
        <v>166</v>
      </c>
      <c r="D74" s="243" t="s">
        <v>156</v>
      </c>
      <c r="E74" s="243" t="s">
        <v>146</v>
      </c>
      <c r="F74" s="244"/>
      <c r="G74" s="244"/>
      <c r="H74" s="244"/>
      <c r="I74" s="244"/>
      <c r="J74" s="245"/>
    </row>
    <row r="75" spans="1:10" x14ac:dyDescent="0.25">
      <c r="A75" s="228"/>
      <c r="B75" s="96" t="s">
        <v>30</v>
      </c>
      <c r="C75" s="229" t="s">
        <v>134</v>
      </c>
      <c r="D75" s="229"/>
      <c r="E75" s="230"/>
      <c r="F75" s="230"/>
      <c r="G75" s="230"/>
      <c r="H75" s="230"/>
      <c r="I75" s="252"/>
      <c r="J75" s="126" t="s">
        <v>136</v>
      </c>
    </row>
    <row r="76" spans="1:10" s="237" customFormat="1" ht="15" x14ac:dyDescent="0.25">
      <c r="A76" s="231"/>
      <c r="B76" s="232" t="s">
        <v>137</v>
      </c>
      <c r="C76" s="233">
        <v>12</v>
      </c>
      <c r="D76" s="233"/>
      <c r="E76" s="247"/>
      <c r="F76" s="235"/>
      <c r="G76" s="235"/>
      <c r="H76" s="235"/>
      <c r="I76" s="253"/>
      <c r="J76" s="236" t="s">
        <v>33</v>
      </c>
    </row>
    <row r="77" spans="1:10" x14ac:dyDescent="0.25">
      <c r="A77" s="238"/>
      <c r="C77" s="239"/>
      <c r="D77" s="239"/>
      <c r="E77" s="239"/>
      <c r="F77" s="239"/>
      <c r="G77" s="239"/>
      <c r="H77" s="239"/>
      <c r="I77" s="239"/>
      <c r="J77" s="246"/>
    </row>
    <row r="78" spans="1:10" ht="27.6" x14ac:dyDescent="0.25">
      <c r="A78" s="242">
        <v>20</v>
      </c>
      <c r="B78" s="243" t="s">
        <v>6</v>
      </c>
      <c r="C78" s="243" t="s">
        <v>166</v>
      </c>
      <c r="D78" s="243" t="s">
        <v>156</v>
      </c>
      <c r="E78" s="243" t="s">
        <v>147</v>
      </c>
      <c r="F78" s="244"/>
      <c r="G78" s="244"/>
      <c r="H78" s="244"/>
      <c r="I78" s="244"/>
      <c r="J78" s="245"/>
    </row>
    <row r="79" spans="1:10" x14ac:dyDescent="0.25">
      <c r="A79" s="228"/>
      <c r="B79" s="96" t="s">
        <v>30</v>
      </c>
      <c r="C79" s="229" t="s">
        <v>143</v>
      </c>
      <c r="D79" s="230"/>
      <c r="E79" s="230"/>
      <c r="F79" s="230"/>
      <c r="G79" s="230"/>
      <c r="H79" s="230"/>
      <c r="I79" s="252"/>
      <c r="J79" s="126" t="s">
        <v>136</v>
      </c>
    </row>
    <row r="80" spans="1:10" s="237" customFormat="1" ht="15" x14ac:dyDescent="0.25">
      <c r="A80" s="231"/>
      <c r="B80" s="232" t="s">
        <v>137</v>
      </c>
      <c r="C80" s="233">
        <v>8</v>
      </c>
      <c r="D80" s="247"/>
      <c r="E80" s="247"/>
      <c r="F80" s="235"/>
      <c r="G80" s="235"/>
      <c r="H80" s="235"/>
      <c r="I80" s="253"/>
      <c r="J80" s="236" t="s">
        <v>33</v>
      </c>
    </row>
    <row r="81" spans="1:10" x14ac:dyDescent="0.25">
      <c r="A81" s="238"/>
      <c r="C81" s="239"/>
      <c r="D81" s="239"/>
      <c r="E81" s="239"/>
      <c r="F81" s="239"/>
      <c r="G81" s="239"/>
      <c r="H81" s="239"/>
      <c r="I81" s="239"/>
      <c r="J81" s="246"/>
    </row>
    <row r="82" spans="1:10" ht="27.6" x14ac:dyDescent="0.25">
      <c r="A82" s="242">
        <v>21</v>
      </c>
      <c r="B82" s="243" t="s">
        <v>6</v>
      </c>
      <c r="C82" s="243" t="s">
        <v>166</v>
      </c>
      <c r="D82" s="243" t="s">
        <v>156</v>
      </c>
      <c r="E82" s="243" t="s">
        <v>164</v>
      </c>
      <c r="F82" s="244"/>
      <c r="G82" s="244"/>
      <c r="H82" s="244"/>
      <c r="I82" s="244"/>
      <c r="J82" s="245"/>
    </row>
    <row r="83" spans="1:10" x14ac:dyDescent="0.25">
      <c r="A83" s="228"/>
      <c r="B83" s="96" t="s">
        <v>30</v>
      </c>
      <c r="C83" s="229" t="s">
        <v>149</v>
      </c>
      <c r="D83" s="230"/>
      <c r="E83" s="230"/>
      <c r="F83" s="230"/>
      <c r="G83" s="230"/>
      <c r="H83" s="230"/>
      <c r="I83" s="252"/>
      <c r="J83" s="126" t="s">
        <v>136</v>
      </c>
    </row>
    <row r="84" spans="1:10" s="237" customFormat="1" ht="15" x14ac:dyDescent="0.25">
      <c r="A84" s="231"/>
      <c r="B84" s="232" t="s">
        <v>137</v>
      </c>
      <c r="C84" s="233">
        <v>6</v>
      </c>
      <c r="D84" s="247"/>
      <c r="E84" s="247"/>
      <c r="F84" s="235"/>
      <c r="G84" s="235"/>
      <c r="H84" s="235"/>
      <c r="I84" s="253"/>
      <c r="J84" s="236" t="s">
        <v>33</v>
      </c>
    </row>
    <row r="85" spans="1:10" x14ac:dyDescent="0.25">
      <c r="A85" s="238"/>
      <c r="C85" s="239"/>
      <c r="D85" s="239"/>
      <c r="E85" s="239"/>
      <c r="F85" s="239"/>
      <c r="G85" s="239"/>
      <c r="H85" s="239"/>
      <c r="I85" s="239"/>
      <c r="J85" s="246"/>
    </row>
    <row r="86" spans="1:10" ht="27.6" x14ac:dyDescent="0.25">
      <c r="A86" s="224">
        <v>22</v>
      </c>
      <c r="B86" s="225" t="s">
        <v>167</v>
      </c>
      <c r="C86" s="225" t="s">
        <v>168</v>
      </c>
      <c r="D86" s="225" t="s">
        <v>169</v>
      </c>
      <c r="E86" s="225" t="s">
        <v>170</v>
      </c>
      <c r="F86" s="225" t="s">
        <v>171</v>
      </c>
      <c r="G86" s="225" t="s">
        <v>172</v>
      </c>
      <c r="H86" s="225" t="s">
        <v>133</v>
      </c>
      <c r="I86" s="226"/>
      <c r="J86" s="227"/>
    </row>
    <row r="87" spans="1:10" x14ac:dyDescent="0.25">
      <c r="A87" s="228"/>
      <c r="B87" s="254" t="s">
        <v>173</v>
      </c>
      <c r="C87" s="255" t="s">
        <v>174</v>
      </c>
      <c r="D87" s="256"/>
      <c r="E87" s="257"/>
      <c r="F87" s="257"/>
      <c r="G87" s="257"/>
      <c r="H87" s="257"/>
      <c r="I87" s="257"/>
      <c r="J87" s="126" t="s">
        <v>136</v>
      </c>
    </row>
    <row r="88" spans="1:10" s="237" customFormat="1" ht="15" x14ac:dyDescent="0.25">
      <c r="A88" s="231"/>
      <c r="B88" s="232" t="s">
        <v>137</v>
      </c>
      <c r="C88" s="233">
        <v>1</v>
      </c>
      <c r="D88" s="235"/>
      <c r="E88" s="235"/>
      <c r="F88" s="235"/>
      <c r="G88" s="235"/>
      <c r="H88" s="235"/>
      <c r="I88" s="235"/>
      <c r="J88" s="236" t="s">
        <v>33</v>
      </c>
    </row>
    <row r="89" spans="1:10" x14ac:dyDescent="0.25">
      <c r="A89" s="238"/>
      <c r="C89" s="239"/>
      <c r="D89" s="239"/>
      <c r="E89" s="239"/>
      <c r="F89" s="239"/>
      <c r="G89" s="239"/>
      <c r="H89" s="239"/>
      <c r="I89" s="239"/>
      <c r="J89" s="246"/>
    </row>
    <row r="90" spans="1:10" ht="41.4" x14ac:dyDescent="0.25">
      <c r="A90" s="242">
        <v>23</v>
      </c>
      <c r="B90" s="243" t="s">
        <v>175</v>
      </c>
      <c r="C90" s="243" t="s">
        <v>176</v>
      </c>
      <c r="D90" s="243" t="s">
        <v>177</v>
      </c>
      <c r="E90" s="243" t="s">
        <v>178</v>
      </c>
      <c r="F90" s="243" t="s">
        <v>179</v>
      </c>
      <c r="G90" s="243" t="s">
        <v>146</v>
      </c>
      <c r="H90" s="243"/>
      <c r="I90" s="243"/>
      <c r="J90" s="245"/>
    </row>
    <row r="91" spans="1:10" x14ac:dyDescent="0.25">
      <c r="A91" s="228"/>
      <c r="B91" s="96" t="s">
        <v>30</v>
      </c>
      <c r="C91" s="229" t="s">
        <v>134</v>
      </c>
      <c r="D91" s="230"/>
      <c r="E91" s="230"/>
      <c r="F91" s="230"/>
      <c r="G91" s="230"/>
      <c r="H91" s="230"/>
      <c r="I91" s="230"/>
      <c r="J91" s="126" t="s">
        <v>136</v>
      </c>
    </row>
    <row r="92" spans="1:10" s="237" customFormat="1" ht="15" x14ac:dyDescent="0.25">
      <c r="A92" s="231"/>
      <c r="B92" s="232" t="s">
        <v>137</v>
      </c>
      <c r="C92" s="233">
        <v>3</v>
      </c>
      <c r="D92" s="235"/>
      <c r="E92" s="235"/>
      <c r="F92" s="235"/>
      <c r="G92" s="235"/>
      <c r="H92" s="235"/>
      <c r="I92" s="235"/>
      <c r="J92" s="236" t="s">
        <v>33</v>
      </c>
    </row>
    <row r="93" spans="1:10" x14ac:dyDescent="0.25">
      <c r="A93" s="238"/>
      <c r="C93" s="239"/>
      <c r="D93" s="239"/>
      <c r="E93" s="239"/>
      <c r="F93" s="239"/>
      <c r="G93" s="239"/>
      <c r="H93" s="239"/>
      <c r="I93" s="239"/>
      <c r="J93" s="246"/>
    </row>
    <row r="94" spans="1:10" ht="41.4" x14ac:dyDescent="0.25">
      <c r="A94" s="224">
        <v>24</v>
      </c>
      <c r="B94" s="225" t="s">
        <v>180</v>
      </c>
      <c r="C94" s="225" t="s">
        <v>176</v>
      </c>
      <c r="D94" s="225" t="s">
        <v>181</v>
      </c>
      <c r="E94" s="225" t="s">
        <v>178</v>
      </c>
      <c r="F94" s="225" t="s">
        <v>179</v>
      </c>
      <c r="G94" s="225" t="s">
        <v>146</v>
      </c>
      <c r="H94" s="225" t="s">
        <v>182</v>
      </c>
      <c r="I94" s="225"/>
      <c r="J94" s="227"/>
    </row>
    <row r="95" spans="1:10" x14ac:dyDescent="0.25">
      <c r="A95" s="228"/>
      <c r="B95" s="96" t="s">
        <v>30</v>
      </c>
      <c r="C95" s="229" t="s">
        <v>134</v>
      </c>
      <c r="D95" s="230"/>
      <c r="E95" s="230"/>
      <c r="F95" s="230"/>
      <c r="G95" s="230"/>
      <c r="H95" s="230"/>
      <c r="I95" s="230"/>
      <c r="J95" s="126" t="s">
        <v>136</v>
      </c>
    </row>
    <row r="96" spans="1:10" s="237" customFormat="1" ht="15" x14ac:dyDescent="0.25">
      <c r="A96" s="231"/>
      <c r="B96" s="232" t="s">
        <v>137</v>
      </c>
      <c r="C96" s="233">
        <v>3</v>
      </c>
      <c r="D96" s="235"/>
      <c r="E96" s="235"/>
      <c r="F96" s="235"/>
      <c r="G96" s="235"/>
      <c r="H96" s="235"/>
      <c r="I96" s="235"/>
      <c r="J96" s="236" t="s">
        <v>33</v>
      </c>
    </row>
    <row r="97" spans="1:10" x14ac:dyDescent="0.25">
      <c r="A97" s="238"/>
      <c r="C97" s="239"/>
      <c r="D97" s="239"/>
      <c r="E97" s="239"/>
      <c r="F97" s="239"/>
      <c r="G97" s="239"/>
      <c r="H97" s="239"/>
      <c r="I97" s="239"/>
      <c r="J97" s="246"/>
    </row>
    <row r="98" spans="1:10" ht="27.6" x14ac:dyDescent="0.25">
      <c r="A98" s="242">
        <v>25</v>
      </c>
      <c r="B98" s="243" t="s">
        <v>183</v>
      </c>
      <c r="C98" s="243" t="s">
        <v>184</v>
      </c>
      <c r="D98" s="243" t="s">
        <v>131</v>
      </c>
      <c r="E98" s="243" t="s">
        <v>185</v>
      </c>
      <c r="F98" s="244"/>
      <c r="G98" s="244"/>
      <c r="H98" s="244"/>
      <c r="I98" s="244"/>
      <c r="J98" s="245"/>
    </row>
    <row r="99" spans="1:10" x14ac:dyDescent="0.25">
      <c r="A99" s="228"/>
      <c r="B99" s="96" t="s">
        <v>30</v>
      </c>
      <c r="C99" s="229" t="s">
        <v>186</v>
      </c>
      <c r="D99" s="230"/>
      <c r="E99" s="25"/>
      <c r="F99" s="96"/>
      <c r="G99" s="96"/>
      <c r="H99" s="96"/>
      <c r="I99" s="96"/>
      <c r="J99" s="126" t="s">
        <v>136</v>
      </c>
    </row>
    <row r="100" spans="1:10" s="237" customFormat="1" ht="15" x14ac:dyDescent="0.25">
      <c r="A100" s="231"/>
      <c r="B100" s="232" t="s">
        <v>137</v>
      </c>
      <c r="C100" s="233">
        <v>1</v>
      </c>
      <c r="D100" s="235"/>
      <c r="E100" s="258"/>
      <c r="F100" s="232"/>
      <c r="G100" s="232"/>
      <c r="H100" s="232"/>
      <c r="I100" s="232"/>
      <c r="J100" s="236" t="s">
        <v>33</v>
      </c>
    </row>
    <row r="101" spans="1:10" s="237" customFormat="1" ht="15" x14ac:dyDescent="0.25">
      <c r="A101" s="259"/>
      <c r="B101" s="260"/>
      <c r="C101" s="261"/>
      <c r="D101" s="262"/>
      <c r="E101" s="263"/>
      <c r="F101" s="260"/>
      <c r="G101" s="260"/>
      <c r="H101" s="260"/>
      <c r="I101" s="260"/>
      <c r="J101" s="264"/>
    </row>
    <row r="102" spans="1:10" ht="27.6" x14ac:dyDescent="0.25">
      <c r="A102" s="224">
        <v>26</v>
      </c>
      <c r="B102" s="225" t="s">
        <v>187</v>
      </c>
      <c r="C102" s="225" t="s">
        <v>188</v>
      </c>
      <c r="D102" s="225" t="s">
        <v>189</v>
      </c>
      <c r="E102" s="225" t="s">
        <v>190</v>
      </c>
      <c r="F102" s="226"/>
      <c r="G102" s="226"/>
      <c r="H102" s="226"/>
      <c r="I102" s="226"/>
      <c r="J102" s="227"/>
    </row>
    <row r="103" spans="1:10" x14ac:dyDescent="0.25">
      <c r="A103" s="228"/>
      <c r="B103" s="96" t="s">
        <v>30</v>
      </c>
      <c r="C103" s="229" t="s">
        <v>186</v>
      </c>
      <c r="D103" s="230"/>
      <c r="E103" s="25"/>
      <c r="F103" s="96"/>
      <c r="G103" s="96"/>
      <c r="H103" s="96"/>
      <c r="I103" s="96"/>
      <c r="J103" s="126" t="s">
        <v>136</v>
      </c>
    </row>
    <row r="104" spans="1:10" s="237" customFormat="1" ht="15" x14ac:dyDescent="0.25">
      <c r="A104" s="231"/>
      <c r="B104" s="232" t="s">
        <v>137</v>
      </c>
      <c r="C104" s="233">
        <v>6</v>
      </c>
      <c r="D104" s="235"/>
      <c r="E104" s="258"/>
      <c r="F104" s="232"/>
      <c r="G104" s="232"/>
      <c r="H104" s="232"/>
      <c r="I104" s="232"/>
      <c r="J104" s="236" t="s">
        <v>33</v>
      </c>
    </row>
    <row r="105" spans="1:10" ht="14.4" thickBot="1" x14ac:dyDescent="0.3">
      <c r="A105" s="265"/>
      <c r="B105" s="266"/>
      <c r="C105" s="267"/>
      <c r="D105" s="267"/>
      <c r="E105" s="267"/>
      <c r="F105" s="267"/>
      <c r="G105" s="267"/>
      <c r="H105" s="267"/>
      <c r="I105" s="267"/>
      <c r="J105" s="268"/>
    </row>
    <row r="106" spans="1:10" ht="14.4" thickBot="1" x14ac:dyDescent="0.3">
      <c r="A106" s="269"/>
      <c r="C106" s="270"/>
      <c r="D106" s="270"/>
      <c r="E106" s="270"/>
      <c r="F106" s="270"/>
      <c r="G106" s="270"/>
      <c r="H106" s="270"/>
      <c r="I106" s="270"/>
      <c r="J106" s="35"/>
    </row>
    <row r="107" spans="1:10" ht="15.6" thickBot="1" x14ac:dyDescent="0.3">
      <c r="A107" s="271" t="s">
        <v>191</v>
      </c>
      <c r="B107" s="272"/>
      <c r="C107" s="272"/>
      <c r="D107" s="272"/>
      <c r="E107" s="272"/>
      <c r="F107" s="272"/>
      <c r="G107" s="272"/>
      <c r="H107" s="272"/>
      <c r="I107" s="272"/>
      <c r="J107" s="273"/>
    </row>
    <row r="108" spans="1:10" ht="41.4" x14ac:dyDescent="0.25">
      <c r="A108" s="224">
        <v>1</v>
      </c>
      <c r="B108" s="225" t="s">
        <v>192</v>
      </c>
      <c r="C108" s="225" t="s">
        <v>168</v>
      </c>
      <c r="D108" s="225" t="s">
        <v>169</v>
      </c>
      <c r="E108" s="225" t="s">
        <v>170</v>
      </c>
      <c r="F108" s="225" t="s">
        <v>193</v>
      </c>
      <c r="G108" s="225" t="s">
        <v>194</v>
      </c>
      <c r="H108" s="225" t="s">
        <v>172</v>
      </c>
      <c r="I108" s="225" t="s">
        <v>195</v>
      </c>
      <c r="J108" s="227"/>
    </row>
    <row r="109" spans="1:10" x14ac:dyDescent="0.25">
      <c r="A109" s="228"/>
      <c r="B109" s="96" t="s">
        <v>137</v>
      </c>
      <c r="C109" s="274">
        <v>1</v>
      </c>
      <c r="D109" s="275"/>
      <c r="E109" s="275"/>
      <c r="F109" s="275"/>
      <c r="G109" s="275"/>
      <c r="H109" s="275"/>
      <c r="I109" s="275"/>
      <c r="J109" s="127" t="s">
        <v>33</v>
      </c>
    </row>
    <row r="110" spans="1:10" x14ac:dyDescent="0.25">
      <c r="A110" s="228"/>
      <c r="B110" s="96" t="s">
        <v>196</v>
      </c>
      <c r="C110" s="230" t="s">
        <v>43</v>
      </c>
      <c r="D110" s="276"/>
      <c r="E110" s="276"/>
      <c r="F110" s="276"/>
      <c r="G110" s="276"/>
      <c r="H110" s="276"/>
      <c r="I110" s="276"/>
      <c r="J110" s="127"/>
    </row>
    <row r="111" spans="1:10" x14ac:dyDescent="0.25">
      <c r="A111" s="238"/>
      <c r="C111" s="239"/>
      <c r="D111" s="239"/>
      <c r="E111" s="239"/>
      <c r="F111" s="239"/>
      <c r="G111" s="239"/>
      <c r="H111" s="239"/>
      <c r="I111" s="239"/>
      <c r="J111" s="246"/>
    </row>
    <row r="112" spans="1:10" ht="27.6" x14ac:dyDescent="0.25">
      <c r="A112" s="242">
        <v>2</v>
      </c>
      <c r="B112" s="243" t="s">
        <v>197</v>
      </c>
      <c r="C112" s="243" t="s">
        <v>198</v>
      </c>
      <c r="D112" s="243" t="s">
        <v>199</v>
      </c>
      <c r="E112" s="243" t="s">
        <v>170</v>
      </c>
      <c r="F112" s="243" t="s">
        <v>200</v>
      </c>
      <c r="G112" s="243"/>
      <c r="H112" s="243"/>
      <c r="I112" s="243"/>
      <c r="J112" s="245"/>
    </row>
    <row r="113" spans="1:10" x14ac:dyDescent="0.25">
      <c r="A113" s="228"/>
      <c r="B113" s="96" t="s">
        <v>30</v>
      </c>
      <c r="C113" s="230" t="s">
        <v>201</v>
      </c>
      <c r="D113" s="230"/>
      <c r="E113" s="230"/>
      <c r="F113" s="230"/>
      <c r="G113" s="275"/>
      <c r="H113" s="275"/>
      <c r="I113" s="275"/>
      <c r="J113" s="127"/>
    </row>
    <row r="114" spans="1:10" x14ac:dyDescent="0.25">
      <c r="A114" s="277"/>
      <c r="B114" s="96" t="s">
        <v>137</v>
      </c>
      <c r="C114" s="274">
        <v>1</v>
      </c>
      <c r="D114" s="275"/>
      <c r="E114" s="275"/>
      <c r="F114" s="275"/>
      <c r="G114" s="278"/>
      <c r="H114" s="278"/>
      <c r="I114" s="278"/>
      <c r="J114" s="127" t="s">
        <v>33</v>
      </c>
    </row>
    <row r="115" spans="1:10" x14ac:dyDescent="0.25">
      <c r="A115" s="277"/>
      <c r="B115" s="96" t="s">
        <v>196</v>
      </c>
      <c r="C115" s="230" t="s">
        <v>43</v>
      </c>
      <c r="D115" s="276"/>
      <c r="E115" s="276"/>
      <c r="F115" s="276"/>
      <c r="G115" s="278"/>
      <c r="H115" s="278"/>
      <c r="I115" s="278"/>
      <c r="J115" s="279"/>
    </row>
    <row r="116" spans="1:10" ht="14.4" thickBot="1" x14ac:dyDescent="0.3">
      <c r="A116" s="280"/>
      <c r="B116" s="281"/>
      <c r="C116" s="282"/>
      <c r="D116" s="282"/>
      <c r="E116" s="282"/>
      <c r="F116" s="282"/>
      <c r="G116" s="282"/>
      <c r="H116" s="282"/>
      <c r="I116" s="282"/>
      <c r="J116" s="283"/>
    </row>
  </sheetData>
  <mergeCells count="2">
    <mergeCell ref="B1:J1"/>
    <mergeCell ref="A107:J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E7D0-13EC-4791-A59F-C8B2BB946389}">
  <dimension ref="A1:O30"/>
  <sheetViews>
    <sheetView topLeftCell="A22" workbookViewId="0">
      <selection activeCell="L10" sqref="L10"/>
    </sheetView>
  </sheetViews>
  <sheetFormatPr defaultRowHeight="14.4" x14ac:dyDescent="0.3"/>
  <cols>
    <col min="2" max="2" width="10.21875" bestFit="1" customWidth="1"/>
    <col min="3" max="3" width="31.77734375" customWidth="1"/>
    <col min="4" max="4" width="28.33203125" customWidth="1"/>
    <col min="5" max="5" width="16.21875" customWidth="1"/>
    <col min="6" max="6" width="18.5546875" customWidth="1"/>
    <col min="7" max="7" width="19" customWidth="1"/>
  </cols>
  <sheetData>
    <row r="1" spans="1:15" ht="15" thickBot="1" x14ac:dyDescent="0.35">
      <c r="A1" s="310" t="s">
        <v>128</v>
      </c>
      <c r="B1" s="284" t="s">
        <v>202</v>
      </c>
      <c r="C1" s="332"/>
      <c r="D1" s="332"/>
      <c r="E1" s="332"/>
      <c r="F1" s="332"/>
      <c r="G1" s="332"/>
      <c r="H1" s="332"/>
      <c r="I1" s="333"/>
      <c r="J1" s="285"/>
      <c r="K1" s="285"/>
      <c r="L1" s="285"/>
      <c r="M1" s="285"/>
      <c r="N1" s="285"/>
      <c r="O1" s="285"/>
    </row>
    <row r="2" spans="1:15" ht="41.4" x14ac:dyDescent="0.3">
      <c r="A2" s="311">
        <v>1</v>
      </c>
      <c r="B2" s="312" t="s">
        <v>203</v>
      </c>
      <c r="C2" s="312" t="s">
        <v>204</v>
      </c>
      <c r="D2" s="312" t="s">
        <v>205</v>
      </c>
      <c r="E2" s="312" t="s">
        <v>206</v>
      </c>
      <c r="F2" s="312" t="s">
        <v>195</v>
      </c>
      <c r="G2" s="313"/>
      <c r="H2" s="314"/>
      <c r="I2" s="315"/>
      <c r="J2" s="285"/>
      <c r="K2" s="285"/>
      <c r="L2" s="285"/>
      <c r="M2" s="285"/>
      <c r="N2" s="285"/>
      <c r="O2" s="285"/>
    </row>
    <row r="3" spans="1:15" x14ac:dyDescent="0.3">
      <c r="A3" s="288"/>
      <c r="B3" s="287" t="s">
        <v>30</v>
      </c>
      <c r="C3" s="289" t="s">
        <v>134</v>
      </c>
      <c r="D3" s="289" t="s">
        <v>135</v>
      </c>
      <c r="E3" s="289"/>
      <c r="F3" s="289"/>
      <c r="G3" s="289"/>
      <c r="H3" s="290"/>
      <c r="I3" s="291" t="s">
        <v>136</v>
      </c>
      <c r="J3" s="285"/>
      <c r="K3" s="285"/>
      <c r="L3" s="285"/>
      <c r="M3" s="285"/>
      <c r="N3" s="285"/>
      <c r="O3" s="285"/>
    </row>
    <row r="4" spans="1:15" x14ac:dyDescent="0.3">
      <c r="A4" s="288"/>
      <c r="B4" s="287" t="s">
        <v>137</v>
      </c>
      <c r="C4" s="319">
        <v>1</v>
      </c>
      <c r="D4" s="319">
        <v>7</v>
      </c>
      <c r="E4" s="292"/>
      <c r="F4" s="292"/>
      <c r="G4" s="292"/>
      <c r="H4" s="293"/>
      <c r="I4" s="294" t="s">
        <v>33</v>
      </c>
      <c r="J4" s="285"/>
      <c r="K4" s="285"/>
      <c r="L4" s="285"/>
      <c r="M4" s="285"/>
      <c r="N4" s="285"/>
      <c r="O4" s="285"/>
    </row>
    <row r="5" spans="1:15" x14ac:dyDescent="0.3">
      <c r="A5" s="295"/>
      <c r="B5" s="296"/>
      <c r="C5" s="296"/>
      <c r="D5" s="296"/>
      <c r="E5" s="296"/>
      <c r="F5" s="296"/>
      <c r="G5" s="296"/>
      <c r="H5" s="297"/>
      <c r="I5" s="298"/>
      <c r="J5" s="285"/>
      <c r="K5" s="285"/>
      <c r="L5" s="285"/>
      <c r="M5" s="285"/>
      <c r="N5" s="285"/>
      <c r="O5" s="285"/>
    </row>
    <row r="6" spans="1:15" ht="41.4" x14ac:dyDescent="0.3">
      <c r="A6" s="311">
        <v>2</v>
      </c>
      <c r="B6" s="312" t="s">
        <v>203</v>
      </c>
      <c r="C6" s="312" t="s">
        <v>204</v>
      </c>
      <c r="D6" s="312" t="s">
        <v>207</v>
      </c>
      <c r="E6" s="312" t="s">
        <v>208</v>
      </c>
      <c r="F6" s="312" t="s">
        <v>146</v>
      </c>
      <c r="G6" s="313"/>
      <c r="H6" s="314"/>
      <c r="I6" s="315"/>
      <c r="J6" s="285"/>
      <c r="K6" s="285"/>
      <c r="L6" s="285"/>
      <c r="M6" s="285"/>
      <c r="N6" s="285"/>
      <c r="O6" s="285"/>
    </row>
    <row r="7" spans="1:15" x14ac:dyDescent="0.3">
      <c r="A7" s="288"/>
      <c r="B7" s="287" t="s">
        <v>30</v>
      </c>
      <c r="C7" s="289" t="s">
        <v>134</v>
      </c>
      <c r="D7" s="289"/>
      <c r="E7" s="289"/>
      <c r="F7" s="289"/>
      <c r="G7" s="289"/>
      <c r="H7" s="290"/>
      <c r="I7" s="291" t="s">
        <v>136</v>
      </c>
      <c r="J7" s="285"/>
      <c r="K7" s="285"/>
      <c r="L7" s="285"/>
      <c r="M7" s="285"/>
      <c r="N7" s="285"/>
      <c r="O7" s="285"/>
    </row>
    <row r="8" spans="1:15" x14ac:dyDescent="0.3">
      <c r="A8" s="288"/>
      <c r="B8" s="287" t="s">
        <v>137</v>
      </c>
      <c r="C8" s="319">
        <v>9</v>
      </c>
      <c r="D8" s="292"/>
      <c r="E8" s="292"/>
      <c r="F8" s="292"/>
      <c r="G8" s="292"/>
      <c r="H8" s="293"/>
      <c r="I8" s="294" t="s">
        <v>33</v>
      </c>
      <c r="J8" s="285"/>
      <c r="K8" s="285"/>
      <c r="L8" s="285"/>
      <c r="M8" s="285"/>
      <c r="N8" s="285"/>
      <c r="O8" s="286" t="s">
        <v>209</v>
      </c>
    </row>
    <row r="9" spans="1:15" x14ac:dyDescent="0.3">
      <c r="A9" s="288"/>
      <c r="B9" s="287"/>
      <c r="C9" s="292"/>
      <c r="D9" s="292"/>
      <c r="E9" s="292"/>
      <c r="F9" s="292"/>
      <c r="G9" s="292"/>
      <c r="H9" s="293"/>
      <c r="I9" s="294"/>
      <c r="J9" s="285"/>
      <c r="K9" s="285"/>
      <c r="L9" s="285"/>
      <c r="M9" s="285"/>
      <c r="N9" s="285"/>
      <c r="O9" s="285"/>
    </row>
    <row r="10" spans="1:15" ht="41.4" x14ac:dyDescent="0.3">
      <c r="A10" s="311">
        <v>3</v>
      </c>
      <c r="B10" s="312" t="s">
        <v>203</v>
      </c>
      <c r="C10" s="312" t="s">
        <v>204</v>
      </c>
      <c r="D10" s="312" t="s">
        <v>210</v>
      </c>
      <c r="E10" s="312" t="s">
        <v>211</v>
      </c>
      <c r="F10" s="312" t="s">
        <v>212</v>
      </c>
      <c r="G10" s="313"/>
      <c r="H10" s="314"/>
      <c r="I10" s="315"/>
      <c r="J10" s="285"/>
      <c r="K10" s="285"/>
      <c r="L10" s="285"/>
      <c r="M10" s="285"/>
      <c r="N10" s="285"/>
      <c r="O10" s="285"/>
    </row>
    <row r="11" spans="1:15" x14ac:dyDescent="0.3">
      <c r="A11" s="288"/>
      <c r="B11" s="287" t="s">
        <v>30</v>
      </c>
      <c r="C11" s="289" t="s">
        <v>143</v>
      </c>
      <c r="D11" s="289"/>
      <c r="E11" s="289"/>
      <c r="F11" s="289"/>
      <c r="G11" s="289"/>
      <c r="H11" s="290"/>
      <c r="I11" s="291" t="s">
        <v>136</v>
      </c>
      <c r="J11" s="285"/>
      <c r="K11" s="285"/>
      <c r="L11" s="285"/>
      <c r="M11" s="285"/>
      <c r="N11" s="285"/>
      <c r="O11" s="285"/>
    </row>
    <row r="12" spans="1:15" x14ac:dyDescent="0.3">
      <c r="A12" s="288"/>
      <c r="B12" s="287" t="s">
        <v>137</v>
      </c>
      <c r="C12" s="319">
        <v>1</v>
      </c>
      <c r="D12" s="292"/>
      <c r="E12" s="292"/>
      <c r="F12" s="292"/>
      <c r="G12" s="292"/>
      <c r="H12" s="293"/>
      <c r="I12" s="294" t="s">
        <v>33</v>
      </c>
      <c r="J12" s="285"/>
      <c r="K12" s="285"/>
      <c r="L12" s="285"/>
      <c r="M12" s="285"/>
      <c r="N12" s="285"/>
      <c r="O12" s="285"/>
    </row>
    <row r="13" spans="1:15" x14ac:dyDescent="0.3">
      <c r="A13" s="288"/>
      <c r="B13" s="287"/>
      <c r="C13" s="292"/>
      <c r="D13" s="292"/>
      <c r="E13" s="292"/>
      <c r="F13" s="292"/>
      <c r="G13" s="292"/>
      <c r="H13" s="293"/>
      <c r="I13" s="294"/>
      <c r="J13" s="285"/>
      <c r="K13" s="285"/>
      <c r="L13" s="285"/>
      <c r="M13" s="285"/>
      <c r="N13" s="285"/>
      <c r="O13" s="285"/>
    </row>
    <row r="14" spans="1:15" ht="41.4" x14ac:dyDescent="0.3">
      <c r="A14" s="311">
        <v>4</v>
      </c>
      <c r="B14" s="312" t="s">
        <v>213</v>
      </c>
      <c r="C14" s="312" t="s">
        <v>214</v>
      </c>
      <c r="D14" s="312" t="s">
        <v>215</v>
      </c>
      <c r="E14" s="312" t="s">
        <v>216</v>
      </c>
      <c r="F14" s="312" t="s">
        <v>195</v>
      </c>
      <c r="G14" s="313"/>
      <c r="H14" s="314"/>
      <c r="I14" s="315"/>
      <c r="J14" s="285"/>
      <c r="K14" s="285"/>
      <c r="L14" s="285"/>
      <c r="M14" s="285"/>
      <c r="N14" s="285"/>
      <c r="O14" s="285"/>
    </row>
    <row r="15" spans="1:15" x14ac:dyDescent="0.3">
      <c r="A15" s="288"/>
      <c r="B15" s="287" t="s">
        <v>30</v>
      </c>
      <c r="C15" s="289" t="s">
        <v>135</v>
      </c>
      <c r="D15" s="289"/>
      <c r="E15" s="289"/>
      <c r="F15" s="289"/>
      <c r="G15" s="289"/>
      <c r="H15" s="290"/>
      <c r="I15" s="291" t="s">
        <v>136</v>
      </c>
      <c r="J15" s="285"/>
      <c r="K15" s="285"/>
      <c r="L15" s="285"/>
      <c r="M15" s="285"/>
      <c r="N15" s="285"/>
      <c r="O15" s="285"/>
    </row>
    <row r="16" spans="1:15" x14ac:dyDescent="0.3">
      <c r="A16" s="288"/>
      <c r="B16" s="287" t="s">
        <v>137</v>
      </c>
      <c r="C16" s="319">
        <v>1</v>
      </c>
      <c r="D16" s="292"/>
      <c r="E16" s="292"/>
      <c r="F16" s="292"/>
      <c r="G16" s="292"/>
      <c r="H16" s="293"/>
      <c r="I16" s="294" t="s">
        <v>33</v>
      </c>
      <c r="J16" s="285"/>
      <c r="K16" s="285"/>
      <c r="L16" s="285"/>
      <c r="M16" s="285"/>
      <c r="N16" s="285"/>
      <c r="O16" s="285"/>
    </row>
    <row r="17" spans="1:9" x14ac:dyDescent="0.3">
      <c r="A17" s="299"/>
      <c r="B17" s="285"/>
      <c r="C17" s="300"/>
      <c r="D17" s="300"/>
      <c r="E17" s="300"/>
      <c r="F17" s="300"/>
      <c r="G17" s="300"/>
      <c r="H17" s="300"/>
      <c r="I17" s="301"/>
    </row>
    <row r="18" spans="1:9" ht="41.4" x14ac:dyDescent="0.3">
      <c r="A18" s="311">
        <v>5</v>
      </c>
      <c r="B18" s="312" t="s">
        <v>213</v>
      </c>
      <c r="C18" s="312" t="s">
        <v>214</v>
      </c>
      <c r="D18" s="312" t="s">
        <v>217</v>
      </c>
      <c r="E18" s="312" t="s">
        <v>218</v>
      </c>
      <c r="F18" s="312" t="s">
        <v>146</v>
      </c>
      <c r="G18" s="317"/>
      <c r="H18" s="318"/>
      <c r="I18" s="315"/>
    </row>
    <row r="19" spans="1:9" x14ac:dyDescent="0.3">
      <c r="A19" s="288"/>
      <c r="B19" s="287" t="s">
        <v>30</v>
      </c>
      <c r="C19" s="289" t="s">
        <v>134</v>
      </c>
      <c r="D19" s="289"/>
      <c r="E19" s="289"/>
      <c r="F19" s="289"/>
      <c r="G19" s="289"/>
      <c r="H19" s="290"/>
      <c r="I19" s="291" t="s">
        <v>136</v>
      </c>
    </row>
    <row r="20" spans="1:9" x14ac:dyDescent="0.3">
      <c r="A20" s="288"/>
      <c r="B20" s="287" t="s">
        <v>137</v>
      </c>
      <c r="C20" s="319">
        <v>3</v>
      </c>
      <c r="D20" s="292"/>
      <c r="E20" s="292"/>
      <c r="F20" s="292"/>
      <c r="G20" s="292"/>
      <c r="H20" s="293"/>
      <c r="I20" s="294" t="s">
        <v>33</v>
      </c>
    </row>
    <row r="21" spans="1:9" x14ac:dyDescent="0.3">
      <c r="A21" s="299"/>
      <c r="B21" s="285"/>
      <c r="C21" s="302"/>
      <c r="D21" s="302"/>
      <c r="E21" s="302"/>
      <c r="F21" s="302"/>
      <c r="G21" s="302"/>
      <c r="H21" s="302"/>
      <c r="I21" s="301"/>
    </row>
    <row r="22" spans="1:9" ht="41.4" x14ac:dyDescent="0.3">
      <c r="A22" s="311">
        <v>6</v>
      </c>
      <c r="B22" s="312" t="s">
        <v>219</v>
      </c>
      <c r="C22" s="312" t="s">
        <v>220</v>
      </c>
      <c r="D22" s="312" t="s">
        <v>221</v>
      </c>
      <c r="E22" s="312" t="s">
        <v>222</v>
      </c>
      <c r="F22" s="312" t="s">
        <v>148</v>
      </c>
      <c r="G22" s="313"/>
      <c r="H22" s="314"/>
      <c r="I22" s="315"/>
    </row>
    <row r="23" spans="1:9" x14ac:dyDescent="0.3">
      <c r="A23" s="288"/>
      <c r="B23" s="287" t="s">
        <v>30</v>
      </c>
      <c r="C23" s="289" t="s">
        <v>149</v>
      </c>
      <c r="D23" s="289"/>
      <c r="E23" s="289"/>
      <c r="F23" s="290"/>
      <c r="G23" s="290"/>
      <c r="H23" s="290"/>
      <c r="I23" s="291" t="s">
        <v>136</v>
      </c>
    </row>
    <row r="24" spans="1:9" x14ac:dyDescent="0.3">
      <c r="A24" s="288"/>
      <c r="B24" s="287" t="s">
        <v>137</v>
      </c>
      <c r="C24" s="319">
        <v>2</v>
      </c>
      <c r="D24" s="292"/>
      <c r="E24" s="292"/>
      <c r="F24" s="293"/>
      <c r="G24" s="293"/>
      <c r="H24" s="293"/>
      <c r="I24" s="294" t="s">
        <v>33</v>
      </c>
    </row>
    <row r="25" spans="1:9" x14ac:dyDescent="0.3">
      <c r="A25" s="299"/>
      <c r="B25" s="285"/>
      <c r="C25" s="302"/>
      <c r="D25" s="302"/>
      <c r="E25" s="302"/>
      <c r="F25" s="302"/>
      <c r="G25" s="302"/>
      <c r="H25" s="302"/>
      <c r="I25" s="301"/>
    </row>
    <row r="26" spans="1:9" ht="27.6" x14ac:dyDescent="0.3">
      <c r="A26" s="311">
        <v>7</v>
      </c>
      <c r="B26" s="312" t="s">
        <v>223</v>
      </c>
      <c r="C26" s="312" t="s">
        <v>224</v>
      </c>
      <c r="D26" s="312" t="s">
        <v>225</v>
      </c>
      <c r="E26" s="312" t="s">
        <v>226</v>
      </c>
      <c r="F26" s="312" t="s">
        <v>227</v>
      </c>
      <c r="G26" s="312" t="s">
        <v>228</v>
      </c>
      <c r="H26" s="316"/>
      <c r="I26" s="315"/>
    </row>
    <row r="27" spans="1:9" x14ac:dyDescent="0.3">
      <c r="A27" s="288"/>
      <c r="B27" s="287" t="s">
        <v>30</v>
      </c>
      <c r="C27" s="289" t="s">
        <v>134</v>
      </c>
      <c r="D27" s="289" t="s">
        <v>142</v>
      </c>
      <c r="E27" s="289" t="s">
        <v>229</v>
      </c>
      <c r="F27" s="289" t="s">
        <v>230</v>
      </c>
      <c r="G27" s="289"/>
      <c r="H27" s="290"/>
      <c r="I27" s="291" t="s">
        <v>136</v>
      </c>
    </row>
    <row r="28" spans="1:9" ht="15" thickBot="1" x14ac:dyDescent="0.35">
      <c r="A28" s="303"/>
      <c r="B28" s="304" t="s">
        <v>137</v>
      </c>
      <c r="C28" s="320">
        <v>1</v>
      </c>
      <c r="D28" s="320">
        <v>1</v>
      </c>
      <c r="E28" s="320">
        <v>1</v>
      </c>
      <c r="F28" s="320">
        <v>1</v>
      </c>
      <c r="G28" s="305"/>
      <c r="H28" s="306"/>
      <c r="I28" s="307" t="s">
        <v>33</v>
      </c>
    </row>
    <row r="29" spans="1:9" x14ac:dyDescent="0.3">
      <c r="A29" s="308"/>
      <c r="B29" s="285"/>
      <c r="C29" s="302"/>
      <c r="D29" s="302"/>
      <c r="E29" s="302"/>
      <c r="F29" s="302"/>
      <c r="G29" s="302"/>
      <c r="H29" s="302"/>
      <c r="I29" s="309"/>
    </row>
    <row r="30" spans="1:9" x14ac:dyDescent="0.3">
      <c r="A30" s="308"/>
      <c r="B30" s="285"/>
      <c r="C30" s="302"/>
      <c r="D30" s="302"/>
      <c r="E30" s="302"/>
      <c r="F30" s="302"/>
      <c r="G30" s="302"/>
      <c r="H30" s="302"/>
      <c r="I30" s="309"/>
    </row>
  </sheetData>
  <mergeCells count="1">
    <mergeCell ref="B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C6B3-CF22-4A3A-BA9A-0389ED0B8144}">
  <dimension ref="A1:Y6"/>
  <sheetViews>
    <sheetView workbookViewId="0">
      <selection activeCell="I14" sqref="I14"/>
    </sheetView>
  </sheetViews>
  <sheetFormatPr defaultRowHeight="16.2" x14ac:dyDescent="0.3"/>
  <cols>
    <col min="1" max="1" width="7.88671875" style="322" bestFit="1" customWidth="1"/>
    <col min="2" max="2" width="12.5546875" style="322" customWidth="1"/>
    <col min="3" max="3" width="23.88671875" style="322" bestFit="1" customWidth="1"/>
    <col min="4" max="4" width="11.88671875" style="322" customWidth="1"/>
    <col min="5" max="5" width="9.44140625" style="322" bestFit="1" customWidth="1"/>
    <col min="6" max="6" width="6.88671875" style="322" bestFit="1" customWidth="1"/>
    <col min="7" max="7" width="14.21875" style="322" bestFit="1" customWidth="1"/>
    <col min="8" max="8" width="8.88671875" style="322"/>
    <col min="9" max="9" width="14.88671875" style="322" customWidth="1"/>
    <col min="10" max="10" width="10" style="322" bestFit="1" customWidth="1"/>
    <col min="11" max="11" width="8.88671875" style="322"/>
    <col min="12" max="12" width="10.88671875" style="322" bestFit="1" customWidth="1"/>
    <col min="13" max="13" width="8.88671875" style="322"/>
    <col min="14" max="15" width="9.77734375" style="322" customWidth="1"/>
    <col min="16" max="17" width="8.88671875" style="322"/>
    <col min="18" max="20" width="10.44140625" style="322" bestFit="1" customWidth="1"/>
    <col min="21" max="21" width="8.88671875" style="322"/>
    <col min="22" max="22" width="11.44140625" style="322" bestFit="1" customWidth="1"/>
    <col min="23" max="23" width="11.88671875" style="322" bestFit="1" customWidth="1"/>
    <col min="24" max="24" width="24.6640625" style="322" bestFit="1" customWidth="1"/>
    <col min="25" max="25" width="31" style="322" bestFit="1" customWidth="1"/>
    <col min="26" max="16384" width="8.88671875" style="322"/>
  </cols>
  <sheetData>
    <row r="1" spans="1:25" x14ac:dyDescent="0.3">
      <c r="A1" s="334" t="s">
        <v>231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</row>
    <row r="2" spans="1:25" ht="32.4" x14ac:dyDescent="0.3">
      <c r="A2" s="321" t="s">
        <v>19</v>
      </c>
      <c r="B2" s="325" t="s">
        <v>196</v>
      </c>
      <c r="C2" s="325" t="s">
        <v>232</v>
      </c>
      <c r="D2" s="325" t="s">
        <v>233</v>
      </c>
      <c r="E2" s="325" t="s">
        <v>234</v>
      </c>
      <c r="F2" s="321" t="s">
        <v>235</v>
      </c>
      <c r="G2" s="321" t="s">
        <v>236</v>
      </c>
      <c r="H2" s="321" t="s">
        <v>29</v>
      </c>
      <c r="I2" s="325" t="s">
        <v>237</v>
      </c>
      <c r="J2" s="321" t="s">
        <v>238</v>
      </c>
      <c r="K2" s="336" t="s">
        <v>24</v>
      </c>
      <c r="L2" s="337"/>
      <c r="M2" s="321" t="s">
        <v>239</v>
      </c>
      <c r="N2" s="336" t="s">
        <v>240</v>
      </c>
      <c r="O2" s="337"/>
      <c r="P2" s="336" t="s">
        <v>241</v>
      </c>
      <c r="Q2" s="337"/>
      <c r="R2" s="336" t="s">
        <v>242</v>
      </c>
      <c r="S2" s="338"/>
      <c r="T2" s="337"/>
      <c r="U2" s="321" t="s">
        <v>243</v>
      </c>
      <c r="V2" s="321" t="s">
        <v>244</v>
      </c>
      <c r="W2" s="321" t="s">
        <v>245</v>
      </c>
      <c r="X2" s="321" t="s">
        <v>246</v>
      </c>
      <c r="Y2" s="321" t="s">
        <v>247</v>
      </c>
    </row>
    <row r="3" spans="1:25" x14ac:dyDescent="0.3">
      <c r="A3" s="321"/>
      <c r="B3" s="321"/>
      <c r="C3" s="321"/>
      <c r="D3" s="321"/>
      <c r="E3" s="321"/>
      <c r="F3" s="321"/>
      <c r="G3" s="321"/>
      <c r="H3" s="321"/>
      <c r="I3" s="321"/>
      <c r="J3" s="321" t="s">
        <v>248</v>
      </c>
      <c r="K3" s="321" t="s">
        <v>249</v>
      </c>
      <c r="L3" s="321" t="s">
        <v>250</v>
      </c>
      <c r="M3" s="321"/>
      <c r="N3" s="321" t="s">
        <v>251</v>
      </c>
      <c r="O3" s="321" t="s">
        <v>252</v>
      </c>
      <c r="P3" s="321" t="s">
        <v>251</v>
      </c>
      <c r="Q3" s="321" t="s">
        <v>252</v>
      </c>
      <c r="R3" s="321" t="s">
        <v>251</v>
      </c>
      <c r="S3" s="321" t="s">
        <v>253</v>
      </c>
      <c r="T3" s="321" t="s">
        <v>252</v>
      </c>
      <c r="U3" s="321" t="s">
        <v>254</v>
      </c>
      <c r="V3" s="321" t="s">
        <v>255</v>
      </c>
      <c r="W3" s="321" t="s">
        <v>29</v>
      </c>
      <c r="X3" s="321" t="s">
        <v>256</v>
      </c>
      <c r="Y3" s="321" t="s">
        <v>257</v>
      </c>
    </row>
    <row r="4" spans="1:25" x14ac:dyDescent="0.3">
      <c r="A4" s="323">
        <v>1</v>
      </c>
      <c r="B4" s="323" t="s">
        <v>258</v>
      </c>
      <c r="C4" s="323" t="s">
        <v>259</v>
      </c>
      <c r="D4" s="323" t="s">
        <v>260</v>
      </c>
      <c r="E4" s="323" t="s">
        <v>260</v>
      </c>
      <c r="F4" s="323" t="s">
        <v>261</v>
      </c>
      <c r="G4" s="323" t="s">
        <v>262</v>
      </c>
      <c r="H4" s="323" t="s">
        <v>263</v>
      </c>
      <c r="I4" s="323" t="s">
        <v>264</v>
      </c>
      <c r="J4" s="323">
        <v>50</v>
      </c>
      <c r="K4" s="323" t="s">
        <v>72</v>
      </c>
      <c r="L4" s="323" t="s">
        <v>44</v>
      </c>
      <c r="M4" s="323">
        <v>1</v>
      </c>
      <c r="N4" s="323">
        <v>1.5</v>
      </c>
      <c r="O4" s="323">
        <v>3.5</v>
      </c>
      <c r="P4" s="323">
        <v>100</v>
      </c>
      <c r="Q4" s="323">
        <v>150</v>
      </c>
      <c r="R4" s="323">
        <v>75</v>
      </c>
      <c r="S4" s="323">
        <v>125</v>
      </c>
      <c r="T4" s="323">
        <v>150</v>
      </c>
      <c r="U4" s="323" t="s">
        <v>63</v>
      </c>
      <c r="V4" s="323"/>
      <c r="W4" s="323"/>
      <c r="X4" s="323"/>
      <c r="Y4" s="323" t="s">
        <v>265</v>
      </c>
    </row>
    <row r="5" spans="1:25" ht="16.8" thickBot="1" x14ac:dyDescent="0.35"/>
    <row r="6" spans="1:25" ht="16.8" thickBot="1" x14ac:dyDescent="0.35">
      <c r="L6" s="322" t="s">
        <v>266</v>
      </c>
      <c r="M6" s="324">
        <f>SUM(M4:M5)</f>
        <v>1</v>
      </c>
    </row>
  </sheetData>
  <mergeCells count="5">
    <mergeCell ref="A1:Y1"/>
    <mergeCell ref="K2:L2"/>
    <mergeCell ref="N2:O2"/>
    <mergeCell ref="P2:Q2"/>
    <mergeCell ref="R2:T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9BF-62D4-443C-88BE-EA9615E19AA7}">
  <dimension ref="A1:AA6"/>
  <sheetViews>
    <sheetView workbookViewId="0">
      <selection activeCell="H20" sqref="H20"/>
    </sheetView>
  </sheetViews>
  <sheetFormatPr defaultRowHeight="16.2" x14ac:dyDescent="0.3"/>
  <cols>
    <col min="1" max="1" width="7.88671875" style="322" bestFit="1" customWidth="1"/>
    <col min="2" max="2" width="13.6640625" style="322" customWidth="1"/>
    <col min="3" max="3" width="18.44140625" style="322" customWidth="1"/>
    <col min="4" max="4" width="12.21875" style="322" customWidth="1"/>
    <col min="5" max="5" width="13" style="322" customWidth="1"/>
    <col min="6" max="6" width="9.21875" style="322" customWidth="1"/>
    <col min="7" max="7" width="11.6640625" style="322" customWidth="1"/>
    <col min="8" max="8" width="10" style="322" customWidth="1"/>
    <col min="9" max="9" width="26.33203125" style="322" bestFit="1" customWidth="1"/>
    <col min="10" max="10" width="21.6640625" style="322" bestFit="1" customWidth="1"/>
    <col min="11" max="11" width="14.109375" style="322" bestFit="1" customWidth="1"/>
    <col min="12" max="12" width="12.88671875" style="322" customWidth="1"/>
    <col min="13" max="13" width="8.88671875" style="322"/>
    <col min="14" max="14" width="15" style="322" bestFit="1" customWidth="1"/>
    <col min="15" max="15" width="40.21875" style="322" bestFit="1" customWidth="1"/>
    <col min="16" max="16" width="34.21875" style="322" bestFit="1" customWidth="1"/>
    <col min="17" max="17" width="10.88671875" style="322" bestFit="1" customWidth="1"/>
    <col min="18" max="16384" width="8.88671875" style="322"/>
  </cols>
  <sheetData>
    <row r="1" spans="1:27" x14ac:dyDescent="0.3">
      <c r="A1" s="339" t="s">
        <v>267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1"/>
      <c r="S1" s="326"/>
      <c r="T1" s="326"/>
      <c r="U1" s="326"/>
      <c r="V1" s="326"/>
      <c r="W1" s="326"/>
      <c r="X1" s="326"/>
      <c r="Y1" s="326"/>
      <c r="Z1" s="326"/>
      <c r="AA1" s="326"/>
    </row>
    <row r="2" spans="1:27" ht="32.4" x14ac:dyDescent="0.3">
      <c r="A2" s="327" t="s">
        <v>19</v>
      </c>
      <c r="B2" s="325" t="s">
        <v>196</v>
      </c>
      <c r="C2" s="321" t="s">
        <v>232</v>
      </c>
      <c r="D2" s="325" t="s">
        <v>233</v>
      </c>
      <c r="E2" s="325" t="s">
        <v>234</v>
      </c>
      <c r="F2" s="321" t="s">
        <v>235</v>
      </c>
      <c r="G2" s="321" t="s">
        <v>268</v>
      </c>
      <c r="H2" s="321" t="s">
        <v>29</v>
      </c>
      <c r="I2" s="321" t="s">
        <v>269</v>
      </c>
      <c r="J2" s="321" t="s">
        <v>270</v>
      </c>
      <c r="K2" s="321" t="s">
        <v>238</v>
      </c>
      <c r="L2" s="321" t="s">
        <v>271</v>
      </c>
      <c r="M2" s="321" t="s">
        <v>239</v>
      </c>
      <c r="N2" s="321" t="s">
        <v>272</v>
      </c>
      <c r="O2" s="321" t="s">
        <v>273</v>
      </c>
      <c r="P2" s="321" t="s">
        <v>274</v>
      </c>
      <c r="Q2" s="321" t="s">
        <v>241</v>
      </c>
      <c r="R2" s="328" t="s">
        <v>275</v>
      </c>
    </row>
    <row r="3" spans="1:27" x14ac:dyDescent="0.3">
      <c r="A3" s="327"/>
      <c r="B3" s="321"/>
      <c r="C3" s="321"/>
      <c r="D3" s="321"/>
      <c r="E3" s="321"/>
      <c r="F3" s="321"/>
      <c r="G3" s="321"/>
      <c r="H3" s="321"/>
      <c r="I3" s="321" t="s">
        <v>276</v>
      </c>
      <c r="J3" s="321" t="s">
        <v>237</v>
      </c>
      <c r="K3" s="321" t="s">
        <v>23</v>
      </c>
      <c r="L3" s="321" t="s">
        <v>24</v>
      </c>
      <c r="M3" s="321"/>
      <c r="N3" s="321" t="s">
        <v>277</v>
      </c>
      <c r="O3" s="321" t="s">
        <v>278</v>
      </c>
      <c r="P3" s="321" t="s">
        <v>278</v>
      </c>
      <c r="Q3" s="321" t="s">
        <v>279</v>
      </c>
      <c r="R3" s="328"/>
    </row>
    <row r="4" spans="1:27" ht="16.8" thickBot="1" x14ac:dyDescent="0.35">
      <c r="A4" s="329">
        <v>1</v>
      </c>
      <c r="B4" s="330" t="s">
        <v>43</v>
      </c>
      <c r="C4" s="330" t="s">
        <v>280</v>
      </c>
      <c r="D4" s="330" t="s">
        <v>281</v>
      </c>
      <c r="E4" s="330" t="s">
        <v>282</v>
      </c>
      <c r="F4" s="330" t="s">
        <v>261</v>
      </c>
      <c r="G4" s="330" t="s">
        <v>283</v>
      </c>
      <c r="H4" s="330" t="s">
        <v>284</v>
      </c>
      <c r="I4" s="330"/>
      <c r="J4" s="330" t="s">
        <v>285</v>
      </c>
      <c r="K4" s="330" t="s">
        <v>286</v>
      </c>
      <c r="L4" s="330" t="s">
        <v>44</v>
      </c>
      <c r="M4" s="330">
        <v>1</v>
      </c>
      <c r="N4" s="330" t="s">
        <v>28</v>
      </c>
      <c r="O4" s="330"/>
      <c r="P4" s="330">
        <v>215</v>
      </c>
      <c r="Q4" s="330" t="s">
        <v>287</v>
      </c>
      <c r="R4" s="331"/>
    </row>
    <row r="5" spans="1:27" ht="16.8" thickBot="1" x14ac:dyDescent="0.35"/>
    <row r="6" spans="1:27" ht="16.8" thickBot="1" x14ac:dyDescent="0.35">
      <c r="L6" s="322" t="s">
        <v>266</v>
      </c>
      <c r="M6" s="324">
        <f>SUM(M4:M4)</f>
        <v>1</v>
      </c>
    </row>
  </sheetData>
  <mergeCells count="1">
    <mergeCell ref="A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BD77-0BEE-44C7-9881-3B566B985579}">
  <dimension ref="B2:I46"/>
  <sheetViews>
    <sheetView workbookViewId="0">
      <selection activeCell="O12" sqref="O12"/>
    </sheetView>
  </sheetViews>
  <sheetFormatPr defaultRowHeight="14.4" x14ac:dyDescent="0.3"/>
  <cols>
    <col min="1" max="1" width="8.88671875" style="285"/>
    <col min="2" max="2" width="16.21875" style="285" customWidth="1"/>
    <col min="3" max="3" width="11.77734375" style="285" bestFit="1" customWidth="1"/>
    <col min="4" max="4" width="15.33203125" style="285" bestFit="1" customWidth="1"/>
    <col min="5" max="5" width="10.44140625" style="285" bestFit="1" customWidth="1"/>
    <col min="6" max="6" width="18" style="285" customWidth="1"/>
    <col min="7" max="7" width="15.33203125" style="285" bestFit="1" customWidth="1"/>
    <col min="8" max="8" width="10.44140625" style="285" bestFit="1" customWidth="1"/>
    <col min="9" max="9" width="9.6640625" style="285" bestFit="1" customWidth="1"/>
    <col min="10" max="16384" width="8.88671875" style="285"/>
  </cols>
  <sheetData>
    <row r="2" spans="2:9" x14ac:dyDescent="0.3">
      <c r="B2" s="342" t="s">
        <v>288</v>
      </c>
      <c r="C2" s="343"/>
      <c r="D2" s="343"/>
      <c r="E2" s="343"/>
      <c r="F2" s="343"/>
      <c r="G2" s="343"/>
      <c r="H2" s="343"/>
      <c r="I2" s="344"/>
    </row>
    <row r="3" spans="2:9" x14ac:dyDescent="0.3">
      <c r="B3" s="345" t="s">
        <v>289</v>
      </c>
      <c r="C3" s="345" t="s">
        <v>290</v>
      </c>
      <c r="D3" s="345" t="s">
        <v>291</v>
      </c>
      <c r="E3" s="345" t="s">
        <v>292</v>
      </c>
      <c r="F3" s="345" t="s">
        <v>266</v>
      </c>
      <c r="G3" s="345" t="s">
        <v>293</v>
      </c>
      <c r="H3" s="345" t="s">
        <v>294</v>
      </c>
      <c r="I3" s="345" t="s">
        <v>295</v>
      </c>
    </row>
    <row r="4" spans="2:9" x14ac:dyDescent="0.3">
      <c r="B4" s="346" t="s">
        <v>296</v>
      </c>
      <c r="C4" s="347">
        <v>2</v>
      </c>
      <c r="D4" s="347">
        <v>0</v>
      </c>
      <c r="E4" s="347">
        <v>0</v>
      </c>
      <c r="F4" s="347">
        <f t="shared" ref="F4:F7" si="0">SUM(C4:E4)</f>
        <v>2</v>
      </c>
      <c r="G4" s="347">
        <v>4</v>
      </c>
      <c r="H4" s="348">
        <f t="shared" ref="H4:H7" si="1">F4*G4</f>
        <v>8</v>
      </c>
      <c r="I4" s="274" t="s">
        <v>297</v>
      </c>
    </row>
    <row r="5" spans="2:9" x14ac:dyDescent="0.3">
      <c r="B5" s="346" t="s">
        <v>229</v>
      </c>
      <c r="C5" s="347">
        <v>3</v>
      </c>
      <c r="D5" s="347">
        <v>0</v>
      </c>
      <c r="E5" s="347">
        <v>0</v>
      </c>
      <c r="F5" s="347">
        <f t="shared" si="0"/>
        <v>3</v>
      </c>
      <c r="G5" s="347">
        <v>4</v>
      </c>
      <c r="H5" s="348">
        <f t="shared" si="1"/>
        <v>12</v>
      </c>
      <c r="I5" s="274" t="s">
        <v>298</v>
      </c>
    </row>
    <row r="6" spans="2:9" x14ac:dyDescent="0.3">
      <c r="B6" s="346" t="s">
        <v>230</v>
      </c>
      <c r="C6" s="347">
        <v>4</v>
      </c>
      <c r="D6" s="347">
        <v>0</v>
      </c>
      <c r="E6" s="347">
        <v>0</v>
      </c>
      <c r="F6" s="347">
        <f t="shared" si="0"/>
        <v>4</v>
      </c>
      <c r="G6" s="347">
        <v>4</v>
      </c>
      <c r="H6" s="348">
        <f t="shared" si="1"/>
        <v>16</v>
      </c>
      <c r="I6" s="274" t="s">
        <v>299</v>
      </c>
    </row>
    <row r="7" spans="2:9" x14ac:dyDescent="0.3">
      <c r="B7" s="346" t="s">
        <v>300</v>
      </c>
      <c r="C7" s="347">
        <v>3</v>
      </c>
      <c r="D7" s="347">
        <v>2</v>
      </c>
      <c r="E7" s="347">
        <v>0</v>
      </c>
      <c r="F7" s="347">
        <f t="shared" si="0"/>
        <v>5</v>
      </c>
      <c r="G7" s="347">
        <v>4</v>
      </c>
      <c r="H7" s="348">
        <f t="shared" si="1"/>
        <v>20</v>
      </c>
      <c r="I7" s="274" t="s">
        <v>301</v>
      </c>
    </row>
    <row r="9" spans="2:9" x14ac:dyDescent="0.3">
      <c r="B9" s="342" t="s">
        <v>302</v>
      </c>
      <c r="C9" s="343"/>
      <c r="D9" s="343"/>
      <c r="E9" s="343"/>
      <c r="F9" s="343"/>
      <c r="G9" s="343"/>
      <c r="H9" s="343"/>
      <c r="I9" s="344"/>
    </row>
    <row r="10" spans="2:9" x14ac:dyDescent="0.3">
      <c r="B10" s="345" t="s">
        <v>289</v>
      </c>
      <c r="C10" s="345" t="s">
        <v>290</v>
      </c>
      <c r="D10" s="345" t="s">
        <v>291</v>
      </c>
      <c r="E10" s="345" t="s">
        <v>292</v>
      </c>
      <c r="F10" s="345" t="s">
        <v>266</v>
      </c>
      <c r="G10" s="345" t="s">
        <v>293</v>
      </c>
      <c r="H10" s="345" t="s">
        <v>294</v>
      </c>
      <c r="I10" s="345" t="s">
        <v>295</v>
      </c>
    </row>
    <row r="11" spans="2:9" x14ac:dyDescent="0.3">
      <c r="B11" s="346" t="s">
        <v>296</v>
      </c>
      <c r="C11" s="347">
        <v>0</v>
      </c>
      <c r="D11" s="347">
        <v>2</v>
      </c>
      <c r="E11" s="347">
        <v>0</v>
      </c>
      <c r="F11" s="347">
        <f t="shared" ref="F11:F14" si="2">SUM(C11:E11)</f>
        <v>2</v>
      </c>
      <c r="G11" s="347">
        <v>4</v>
      </c>
      <c r="H11" s="348">
        <f t="shared" ref="H11:H14" si="3">F11*G11</f>
        <v>8</v>
      </c>
      <c r="I11" s="274" t="s">
        <v>297</v>
      </c>
    </row>
    <row r="12" spans="2:9" x14ac:dyDescent="0.3">
      <c r="B12" s="346" t="s">
        <v>230</v>
      </c>
      <c r="C12" s="347">
        <v>2</v>
      </c>
      <c r="D12" s="347">
        <v>0</v>
      </c>
      <c r="E12" s="347">
        <v>0</v>
      </c>
      <c r="F12" s="347">
        <f t="shared" si="2"/>
        <v>2</v>
      </c>
      <c r="G12" s="347">
        <v>4</v>
      </c>
      <c r="H12" s="348">
        <f t="shared" si="3"/>
        <v>8</v>
      </c>
      <c r="I12" s="274" t="s">
        <v>299</v>
      </c>
    </row>
    <row r="13" spans="2:9" x14ac:dyDescent="0.3">
      <c r="B13" s="346" t="s">
        <v>303</v>
      </c>
      <c r="C13" s="347">
        <v>2</v>
      </c>
      <c r="D13" s="347">
        <v>0</v>
      </c>
      <c r="E13" s="347">
        <v>0</v>
      </c>
      <c r="F13" s="347">
        <f t="shared" si="2"/>
        <v>2</v>
      </c>
      <c r="G13" s="347">
        <v>4</v>
      </c>
      <c r="H13" s="348">
        <f t="shared" si="3"/>
        <v>8</v>
      </c>
      <c r="I13" s="274" t="s">
        <v>301</v>
      </c>
    </row>
    <row r="14" spans="2:9" x14ac:dyDescent="0.3">
      <c r="B14" s="346" t="s">
        <v>300</v>
      </c>
      <c r="C14" s="347">
        <v>1</v>
      </c>
      <c r="D14" s="347">
        <v>0</v>
      </c>
      <c r="E14" s="347">
        <v>0</v>
      </c>
      <c r="F14" s="347">
        <f t="shared" si="2"/>
        <v>1</v>
      </c>
      <c r="G14" s="347">
        <v>4</v>
      </c>
      <c r="H14" s="348">
        <f t="shared" si="3"/>
        <v>4</v>
      </c>
      <c r="I14" s="274" t="s">
        <v>301</v>
      </c>
    </row>
    <row r="16" spans="2:9" x14ac:dyDescent="0.3">
      <c r="B16" s="349" t="s">
        <v>304</v>
      </c>
      <c r="C16" s="349"/>
      <c r="D16" s="349"/>
      <c r="E16" s="349"/>
      <c r="F16" s="349"/>
    </row>
    <row r="17" spans="2:6" x14ac:dyDescent="0.3">
      <c r="B17" s="345" t="s">
        <v>289</v>
      </c>
      <c r="C17" s="345" t="s">
        <v>305</v>
      </c>
      <c r="D17" s="345" t="s">
        <v>293</v>
      </c>
      <c r="E17" s="345" t="s">
        <v>294</v>
      </c>
      <c r="F17" s="345" t="s">
        <v>295</v>
      </c>
    </row>
    <row r="18" spans="2:6" x14ac:dyDescent="0.3">
      <c r="B18" s="346" t="s">
        <v>201</v>
      </c>
      <c r="C18" s="347">
        <v>6</v>
      </c>
      <c r="D18" s="347">
        <v>4</v>
      </c>
      <c r="E18" s="348">
        <f>C18*D18</f>
        <v>24</v>
      </c>
      <c r="F18" s="274" t="s">
        <v>306</v>
      </c>
    </row>
    <row r="19" spans="2:6" x14ac:dyDescent="0.3">
      <c r="B19" s="346" t="s">
        <v>229</v>
      </c>
      <c r="C19" s="347">
        <v>4</v>
      </c>
      <c r="D19" s="347">
        <v>4</v>
      </c>
      <c r="E19" s="348">
        <f t="shared" ref="E19:E20" si="4">C19*D19</f>
        <v>16</v>
      </c>
      <c r="F19" s="274" t="s">
        <v>298</v>
      </c>
    </row>
    <row r="20" spans="2:6" x14ac:dyDescent="0.3">
      <c r="B20" s="346" t="s">
        <v>230</v>
      </c>
      <c r="C20" s="347">
        <v>2</v>
      </c>
      <c r="D20" s="347">
        <v>4</v>
      </c>
      <c r="E20" s="348">
        <f t="shared" si="4"/>
        <v>8</v>
      </c>
      <c r="F20" s="274" t="s">
        <v>299</v>
      </c>
    </row>
    <row r="22" spans="2:6" x14ac:dyDescent="0.3">
      <c r="B22" s="349" t="s">
        <v>307</v>
      </c>
      <c r="C22" s="349"/>
      <c r="D22" s="349"/>
      <c r="E22" s="349"/>
      <c r="F22" s="349"/>
    </row>
    <row r="23" spans="2:6" x14ac:dyDescent="0.3">
      <c r="B23" s="345" t="s">
        <v>289</v>
      </c>
      <c r="C23" s="345" t="s">
        <v>305</v>
      </c>
      <c r="D23" s="345" t="s">
        <v>293</v>
      </c>
      <c r="E23" s="345" t="s">
        <v>294</v>
      </c>
      <c r="F23" s="345" t="s">
        <v>295</v>
      </c>
    </row>
    <row r="24" spans="2:6" x14ac:dyDescent="0.3">
      <c r="B24" s="346" t="s">
        <v>230</v>
      </c>
      <c r="C24" s="347">
        <v>2</v>
      </c>
      <c r="D24" s="347">
        <v>4</v>
      </c>
      <c r="E24" s="348">
        <f t="shared" ref="E24" si="5">C24*D24</f>
        <v>8</v>
      </c>
      <c r="F24" s="274" t="s">
        <v>299</v>
      </c>
    </row>
    <row r="26" spans="2:6" x14ac:dyDescent="0.3">
      <c r="B26" s="349" t="s">
        <v>308</v>
      </c>
      <c r="C26" s="349"/>
      <c r="D26" s="349"/>
      <c r="E26" s="349"/>
      <c r="F26" s="349"/>
    </row>
    <row r="27" spans="2:6" x14ac:dyDescent="0.3">
      <c r="B27" s="345" t="s">
        <v>289</v>
      </c>
      <c r="C27" s="345" t="s">
        <v>305</v>
      </c>
      <c r="D27" s="345" t="s">
        <v>293</v>
      </c>
      <c r="E27" s="345" t="s">
        <v>294</v>
      </c>
      <c r="F27" s="345" t="s">
        <v>295</v>
      </c>
    </row>
    <row r="28" spans="2:6" x14ac:dyDescent="0.3">
      <c r="B28" s="346" t="s">
        <v>201</v>
      </c>
      <c r="C28" s="347">
        <v>2</v>
      </c>
      <c r="D28" s="347">
        <v>4</v>
      </c>
      <c r="E28" s="348">
        <f>C28*D28</f>
        <v>8</v>
      </c>
      <c r="F28" s="274" t="s">
        <v>306</v>
      </c>
    </row>
    <row r="29" spans="2:6" x14ac:dyDescent="0.3">
      <c r="B29" s="346" t="s">
        <v>296</v>
      </c>
      <c r="C29" s="347">
        <v>2</v>
      </c>
      <c r="D29" s="347">
        <v>4</v>
      </c>
      <c r="E29" s="348">
        <f t="shared" ref="E29" si="6">C29*D29</f>
        <v>8</v>
      </c>
      <c r="F29" s="274" t="s">
        <v>297</v>
      </c>
    </row>
    <row r="30" spans="2:6" x14ac:dyDescent="0.3">
      <c r="B30" s="346" t="s">
        <v>229</v>
      </c>
      <c r="C30" s="347">
        <v>2</v>
      </c>
      <c r="D30" s="347">
        <v>4</v>
      </c>
      <c r="E30" s="348">
        <f>C30*D30</f>
        <v>8</v>
      </c>
      <c r="F30" s="274" t="s">
        <v>298</v>
      </c>
    </row>
    <row r="32" spans="2:6" x14ac:dyDescent="0.3">
      <c r="B32" s="349" t="s">
        <v>309</v>
      </c>
      <c r="C32" s="349"/>
      <c r="D32" s="349"/>
      <c r="E32" s="349"/>
      <c r="F32" s="349"/>
    </row>
    <row r="33" spans="2:6" x14ac:dyDescent="0.3">
      <c r="B33" s="345" t="s">
        <v>289</v>
      </c>
      <c r="C33" s="345" t="s">
        <v>305</v>
      </c>
      <c r="D33" s="345" t="s">
        <v>293</v>
      </c>
      <c r="E33" s="345" t="s">
        <v>294</v>
      </c>
      <c r="F33" s="345" t="s">
        <v>295</v>
      </c>
    </row>
    <row r="34" spans="2:6" x14ac:dyDescent="0.3">
      <c r="B34" s="346" t="s">
        <v>300</v>
      </c>
      <c r="C34" s="347">
        <v>2</v>
      </c>
      <c r="D34" s="347">
        <v>4</v>
      </c>
      <c r="E34" s="348">
        <f t="shared" ref="E34" si="7">C34*D34</f>
        <v>8</v>
      </c>
      <c r="F34" s="274" t="s">
        <v>310</v>
      </c>
    </row>
    <row r="37" spans="2:6" x14ac:dyDescent="0.3">
      <c r="B37" s="349" t="s">
        <v>311</v>
      </c>
      <c r="C37" s="349"/>
      <c r="D37" s="349"/>
      <c r="E37" s="349"/>
      <c r="F37" s="349"/>
    </row>
    <row r="38" spans="2:6" x14ac:dyDescent="0.3">
      <c r="B38" s="345" t="s">
        <v>289</v>
      </c>
      <c r="C38" s="345" t="s">
        <v>305</v>
      </c>
      <c r="D38" s="345" t="s">
        <v>293</v>
      </c>
      <c r="E38" s="345" t="s">
        <v>294</v>
      </c>
      <c r="F38" s="345" t="s">
        <v>295</v>
      </c>
    </row>
    <row r="39" spans="2:6" x14ac:dyDescent="0.3">
      <c r="B39" s="346" t="s">
        <v>201</v>
      </c>
      <c r="C39" s="347">
        <v>3</v>
      </c>
      <c r="D39" s="347">
        <v>4</v>
      </c>
      <c r="E39" s="348">
        <f t="shared" ref="E39" si="8">C39*D39</f>
        <v>12</v>
      </c>
      <c r="F39" s="274" t="s">
        <v>312</v>
      </c>
    </row>
    <row r="40" spans="2:6" x14ac:dyDescent="0.3">
      <c r="B40" s="346" t="s">
        <v>230</v>
      </c>
      <c r="C40" s="347">
        <v>1</v>
      </c>
      <c r="D40" s="347">
        <v>4</v>
      </c>
      <c r="E40" s="348">
        <f>C40*D40</f>
        <v>4</v>
      </c>
      <c r="F40" s="274" t="s">
        <v>310</v>
      </c>
    </row>
    <row r="42" spans="2:6" x14ac:dyDescent="0.3">
      <c r="B42" s="349" t="s">
        <v>313</v>
      </c>
      <c r="C42" s="349"/>
      <c r="D42" s="349"/>
      <c r="E42" s="349"/>
      <c r="F42" s="349"/>
    </row>
    <row r="43" spans="2:6" x14ac:dyDescent="0.3">
      <c r="B43" s="345" t="s">
        <v>289</v>
      </c>
      <c r="C43" s="345" t="s">
        <v>305</v>
      </c>
      <c r="D43" s="345" t="s">
        <v>293</v>
      </c>
      <c r="E43" s="345" t="s">
        <v>294</v>
      </c>
      <c r="F43" s="345" t="s">
        <v>295</v>
      </c>
    </row>
    <row r="44" spans="2:6" x14ac:dyDescent="0.3">
      <c r="B44" s="346" t="s">
        <v>230</v>
      </c>
      <c r="C44" s="347">
        <v>2</v>
      </c>
      <c r="D44" s="347">
        <v>4</v>
      </c>
      <c r="E44" s="348">
        <f>C44*D44</f>
        <v>8</v>
      </c>
      <c r="F44" s="274" t="s">
        <v>314</v>
      </c>
    </row>
    <row r="45" spans="2:6" ht="15" thickBot="1" x14ac:dyDescent="0.35"/>
    <row r="46" spans="2:6" ht="15" thickBot="1" x14ac:dyDescent="0.35">
      <c r="B46" s="350" t="s">
        <v>315</v>
      </c>
      <c r="C46" s="351" t="s">
        <v>316</v>
      </c>
      <c r="D46" s="352"/>
      <c r="E46" s="352"/>
      <c r="F46" s="353"/>
    </row>
  </sheetData>
  <mergeCells count="9">
    <mergeCell ref="B37:F37"/>
    <mergeCell ref="B42:F42"/>
    <mergeCell ref="C46:F46"/>
    <mergeCell ref="B2:I2"/>
    <mergeCell ref="B9:I9"/>
    <mergeCell ref="B16:F16"/>
    <mergeCell ref="B22:F22"/>
    <mergeCell ref="B26:F26"/>
    <mergeCell ref="B32:F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B451-96EC-4D55-8222-57AD75BFC9C7}">
  <dimension ref="A2:T106"/>
  <sheetViews>
    <sheetView workbookViewId="0">
      <selection sqref="A1:XFD1048576"/>
    </sheetView>
  </sheetViews>
  <sheetFormatPr defaultColWidth="8.88671875" defaultRowHeight="14.4" x14ac:dyDescent="0.3"/>
  <cols>
    <col min="1" max="1" width="7.109375" style="368" bestFit="1" customWidth="1"/>
    <col min="2" max="2" width="16" style="373" bestFit="1" customWidth="1"/>
    <col min="3" max="3" width="16.6640625" style="356" bestFit="1" customWidth="1"/>
    <col min="4" max="4" width="6" style="356" bestFit="1" customWidth="1"/>
    <col min="5" max="5" width="7.44140625" style="368" bestFit="1" customWidth="1"/>
    <col min="6" max="6" width="8.44140625" style="378" bestFit="1" customWidth="1"/>
    <col min="7" max="9" width="6.77734375" style="356" customWidth="1"/>
    <col min="10" max="11" width="11.33203125" style="356" bestFit="1" customWidth="1"/>
    <col min="12" max="12" width="8.44140625" style="356" bestFit="1" customWidth="1"/>
    <col min="13" max="13" width="9.109375" style="356" bestFit="1" customWidth="1"/>
    <col min="14" max="14" width="13.88671875" style="356" bestFit="1" customWidth="1"/>
    <col min="15" max="15" width="4.21875" style="356" bestFit="1" customWidth="1"/>
    <col min="16" max="16" width="10.44140625" style="356" bestFit="1" customWidth="1"/>
    <col min="17" max="17" width="9.88671875" style="356" bestFit="1" customWidth="1"/>
    <col min="18" max="18" width="8.109375" style="356" bestFit="1" customWidth="1"/>
    <col min="19" max="19" width="7.77734375" style="356" bestFit="1" customWidth="1"/>
    <col min="20" max="20" width="12" style="368" bestFit="1" customWidth="1"/>
    <col min="21" max="16384" width="8.88671875" style="356"/>
  </cols>
  <sheetData>
    <row r="2" spans="1:20" x14ac:dyDescent="0.3">
      <c r="A2" s="354" t="s">
        <v>19</v>
      </c>
      <c r="B2" s="354" t="s">
        <v>317</v>
      </c>
      <c r="C2" s="354" t="s">
        <v>232</v>
      </c>
      <c r="D2" s="354" t="s">
        <v>24</v>
      </c>
      <c r="E2" s="354" t="s">
        <v>318</v>
      </c>
      <c r="F2" s="355" t="s">
        <v>319</v>
      </c>
      <c r="G2" s="354" t="s">
        <v>320</v>
      </c>
      <c r="H2" s="354" t="s">
        <v>321</v>
      </c>
      <c r="I2" s="354" t="s">
        <v>322</v>
      </c>
      <c r="J2" s="354" t="s">
        <v>323</v>
      </c>
      <c r="K2" s="354" t="s">
        <v>323</v>
      </c>
      <c r="L2" s="354" t="s">
        <v>324</v>
      </c>
      <c r="M2" s="354" t="s">
        <v>325</v>
      </c>
      <c r="N2" s="354" t="s">
        <v>326</v>
      </c>
      <c r="O2" s="354" t="s">
        <v>327</v>
      </c>
      <c r="P2" s="354" t="s">
        <v>328</v>
      </c>
      <c r="Q2" s="354" t="s">
        <v>329</v>
      </c>
      <c r="R2" s="354" t="s">
        <v>330</v>
      </c>
      <c r="S2" s="354" t="s">
        <v>331</v>
      </c>
      <c r="T2" s="354" t="s">
        <v>332</v>
      </c>
    </row>
    <row r="3" spans="1:20" x14ac:dyDescent="0.3">
      <c r="A3" s="354"/>
      <c r="B3" s="354"/>
      <c r="C3" s="354"/>
      <c r="D3" s="354"/>
      <c r="E3" s="354" t="s">
        <v>34</v>
      </c>
      <c r="F3" s="355"/>
      <c r="G3" s="354" t="s">
        <v>333</v>
      </c>
      <c r="H3" s="354"/>
      <c r="I3" s="354"/>
      <c r="J3" s="354"/>
      <c r="K3" s="354" t="s">
        <v>334</v>
      </c>
      <c r="L3" s="354"/>
      <c r="M3" s="354" t="s">
        <v>335</v>
      </c>
      <c r="N3" s="354" t="s">
        <v>336</v>
      </c>
      <c r="O3" s="354"/>
      <c r="P3" s="354" t="s">
        <v>335</v>
      </c>
      <c r="Q3" s="354" t="s">
        <v>337</v>
      </c>
      <c r="R3" s="354" t="s">
        <v>338</v>
      </c>
      <c r="S3" s="354" t="s">
        <v>339</v>
      </c>
      <c r="T3" s="357"/>
    </row>
    <row r="4" spans="1:20" x14ac:dyDescent="0.3">
      <c r="A4" s="358"/>
      <c r="B4" s="358"/>
      <c r="C4" s="358"/>
      <c r="D4" s="358"/>
      <c r="E4" s="358"/>
      <c r="F4" s="359" t="s">
        <v>340</v>
      </c>
      <c r="G4" s="358" t="s">
        <v>340</v>
      </c>
      <c r="H4" s="358" t="s">
        <v>340</v>
      </c>
      <c r="I4" s="358" t="s">
        <v>340</v>
      </c>
      <c r="J4" s="358"/>
      <c r="K4" s="358" t="s">
        <v>341</v>
      </c>
      <c r="L4" s="358" t="s">
        <v>341</v>
      </c>
      <c r="M4" s="358" t="s">
        <v>341</v>
      </c>
      <c r="N4" s="358" t="s">
        <v>341</v>
      </c>
      <c r="O4" s="358" t="s">
        <v>342</v>
      </c>
      <c r="P4" s="358" t="s">
        <v>341</v>
      </c>
      <c r="Q4" s="358" t="s">
        <v>343</v>
      </c>
      <c r="R4" s="358" t="s">
        <v>343</v>
      </c>
      <c r="S4" s="358" t="s">
        <v>343</v>
      </c>
      <c r="T4" s="360" t="s">
        <v>344</v>
      </c>
    </row>
    <row r="5" spans="1:20" x14ac:dyDescent="0.3">
      <c r="A5" s="361"/>
      <c r="B5" s="361"/>
      <c r="C5" s="361"/>
      <c r="D5" s="361"/>
      <c r="E5" s="361"/>
      <c r="F5" s="362"/>
      <c r="G5" s="361"/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3"/>
    </row>
    <row r="6" spans="1:20" x14ac:dyDescent="0.3">
      <c r="A6" s="364">
        <v>1</v>
      </c>
      <c r="B6" s="364" t="s">
        <v>43</v>
      </c>
      <c r="C6" s="364" t="s">
        <v>280</v>
      </c>
      <c r="D6" s="364" t="s">
        <v>44</v>
      </c>
      <c r="E6" s="364" t="s">
        <v>345</v>
      </c>
      <c r="F6" s="365">
        <v>65</v>
      </c>
      <c r="G6" s="364">
        <v>1212</v>
      </c>
      <c r="H6" s="364">
        <f t="shared" ref="H6:H7" si="0">G6+2*F6</f>
        <v>1342</v>
      </c>
      <c r="I6" s="364">
        <v>950</v>
      </c>
      <c r="J6" s="364">
        <v>2</v>
      </c>
      <c r="K6" s="366">
        <f>J6*(0.7854*H6/1000*H6/1000*1.2)</f>
        <v>3.3947451014399994</v>
      </c>
      <c r="L6" s="366">
        <f>H6/1000*3.142*I6/1000</f>
        <v>4.0057358000000001</v>
      </c>
      <c r="M6" s="366">
        <f t="shared" ref="M6:M7" si="1">L6+K6</f>
        <v>7.4004809014399999</v>
      </c>
      <c r="N6" s="366">
        <f t="shared" ref="N6:N7" si="2">M6*1.1</f>
        <v>8.1405289915840005</v>
      </c>
      <c r="O6" s="367">
        <v>1</v>
      </c>
      <c r="P6" s="366">
        <f>N6*O6</f>
        <v>8.1405289915840005</v>
      </c>
      <c r="Q6" s="366">
        <f>P6*F6/1000*100</f>
        <v>52.913438445296002</v>
      </c>
      <c r="R6" s="366">
        <f>P6*2700/1000*0.51</f>
        <v>11.20950842141117</v>
      </c>
      <c r="S6" s="366">
        <f>(((G6*3.14/1000)*(I6/1000+1))*1.1)*(0.008*25*3)</f>
        <v>4.8979101600000021</v>
      </c>
      <c r="T6" s="364">
        <f t="shared" ref="T6:T7" si="3">((K6*1.1*44)+(L6*1.1*25))*1.1</f>
        <v>301.90973715066565</v>
      </c>
    </row>
    <row r="7" spans="1:20" x14ac:dyDescent="0.3">
      <c r="A7" s="364">
        <v>2</v>
      </c>
      <c r="B7" s="364" t="s">
        <v>43</v>
      </c>
      <c r="C7" s="364" t="s">
        <v>280</v>
      </c>
      <c r="D7" s="364" t="s">
        <v>44</v>
      </c>
      <c r="E7" s="364" t="s">
        <v>345</v>
      </c>
      <c r="F7" s="365">
        <v>65</v>
      </c>
      <c r="G7" s="364">
        <v>1412</v>
      </c>
      <c r="H7" s="364">
        <f t="shared" si="0"/>
        <v>1542</v>
      </c>
      <c r="I7" s="364">
        <v>2100</v>
      </c>
      <c r="J7" s="364">
        <v>0</v>
      </c>
      <c r="K7" s="366">
        <f t="shared" ref="K7" si="4">J7*(0.7854*H7/1000*H7/1000*1.2)</f>
        <v>0</v>
      </c>
      <c r="L7" s="366">
        <f t="shared" ref="L7" si="5">H7/1000*3.142*I7/1000</f>
        <v>10.174424399999999</v>
      </c>
      <c r="M7" s="366">
        <f t="shared" si="1"/>
        <v>10.174424399999999</v>
      </c>
      <c r="N7" s="366">
        <f t="shared" si="2"/>
        <v>11.191866840000001</v>
      </c>
      <c r="O7" s="367">
        <v>1</v>
      </c>
      <c r="P7" s="366">
        <f>N7*O7</f>
        <v>11.191866840000001</v>
      </c>
      <c r="Q7" s="366">
        <f>P7*F7/1000*100</f>
        <v>72.747134460000012</v>
      </c>
      <c r="R7" s="366">
        <f t="shared" ref="R7" si="6">P7*2700/1000*0.51</f>
        <v>15.41120063868</v>
      </c>
      <c r="S7" s="366">
        <f t="shared" ref="S7" si="7">(((G7*3.14/1000)*(I7/1000+1))*1.1)*(0.008*25*3)</f>
        <v>9.0713092800000048</v>
      </c>
      <c r="T7" s="364">
        <f t="shared" si="3"/>
        <v>307.77633810000003</v>
      </c>
    </row>
    <row r="8" spans="1:20" ht="15" thickBot="1" x14ac:dyDescent="0.35">
      <c r="B8" s="369"/>
      <c r="C8" s="370"/>
      <c r="D8" s="371"/>
      <c r="F8" s="372"/>
      <c r="H8" s="368"/>
    </row>
    <row r="9" spans="1:20" ht="15" thickBot="1" x14ac:dyDescent="0.35">
      <c r="D9" s="368"/>
      <c r="F9" s="372"/>
      <c r="P9" s="374">
        <f>SUM(P6:P8)</f>
        <v>19.332395831584002</v>
      </c>
      <c r="R9" s="374">
        <f>SUM(R6:R8)</f>
        <v>26.620709060091173</v>
      </c>
    </row>
    <row r="10" spans="1:20" x14ac:dyDescent="0.3">
      <c r="D10" s="371"/>
      <c r="F10" s="372"/>
    </row>
    <row r="11" spans="1:20" x14ac:dyDescent="0.3">
      <c r="D11" s="368"/>
      <c r="F11" s="372"/>
    </row>
    <row r="12" spans="1:20" x14ac:dyDescent="0.3">
      <c r="D12" s="368"/>
      <c r="F12" s="372"/>
    </row>
    <row r="13" spans="1:20" x14ac:dyDescent="0.3">
      <c r="D13" s="368"/>
      <c r="F13" s="372"/>
    </row>
    <row r="14" spans="1:20" x14ac:dyDescent="0.3">
      <c r="C14" s="373"/>
      <c r="D14" s="368"/>
      <c r="F14" s="375"/>
    </row>
    <row r="15" spans="1:20" x14ac:dyDescent="0.3">
      <c r="D15" s="368"/>
      <c r="F15" s="372"/>
    </row>
    <row r="16" spans="1:20" x14ac:dyDescent="0.3">
      <c r="D16" s="376"/>
      <c r="E16" s="376"/>
      <c r="F16" s="372"/>
    </row>
    <row r="17" spans="2:6" x14ac:dyDescent="0.3">
      <c r="D17" s="376"/>
      <c r="E17" s="376"/>
      <c r="F17" s="372"/>
    </row>
    <row r="18" spans="2:6" x14ac:dyDescent="0.3">
      <c r="D18" s="371"/>
      <c r="E18" s="376"/>
      <c r="F18" s="372"/>
    </row>
    <row r="19" spans="2:6" x14ac:dyDescent="0.3">
      <c r="D19" s="376"/>
      <c r="E19" s="376"/>
      <c r="F19" s="372"/>
    </row>
    <row r="20" spans="2:6" x14ac:dyDescent="0.3">
      <c r="B20" s="369"/>
      <c r="C20" s="370"/>
      <c r="D20" s="371"/>
      <c r="F20" s="372"/>
    </row>
    <row r="21" spans="2:6" x14ac:dyDescent="0.3">
      <c r="D21" s="368"/>
      <c r="F21" s="372"/>
    </row>
    <row r="22" spans="2:6" x14ac:dyDescent="0.3">
      <c r="D22" s="371"/>
      <c r="F22" s="372"/>
    </row>
    <row r="23" spans="2:6" x14ac:dyDescent="0.3">
      <c r="D23" s="368"/>
      <c r="F23" s="372"/>
    </row>
    <row r="24" spans="2:6" x14ac:dyDescent="0.3">
      <c r="D24" s="368"/>
      <c r="F24" s="372"/>
    </row>
    <row r="25" spans="2:6" x14ac:dyDescent="0.3">
      <c r="D25" s="368"/>
      <c r="F25" s="372"/>
    </row>
    <row r="26" spans="2:6" x14ac:dyDescent="0.3">
      <c r="D26" s="368"/>
      <c r="F26" s="375"/>
    </row>
    <row r="27" spans="2:6" x14ac:dyDescent="0.3">
      <c r="D27" s="368"/>
      <c r="F27" s="372"/>
    </row>
    <row r="28" spans="2:6" x14ac:dyDescent="0.3">
      <c r="D28" s="376"/>
      <c r="E28" s="376"/>
      <c r="F28" s="372"/>
    </row>
    <row r="29" spans="2:6" x14ac:dyDescent="0.3">
      <c r="D29" s="376"/>
      <c r="E29" s="376"/>
      <c r="F29" s="372"/>
    </row>
    <row r="30" spans="2:6" x14ac:dyDescent="0.3">
      <c r="D30" s="371"/>
      <c r="E30" s="376"/>
      <c r="F30" s="372"/>
    </row>
    <row r="31" spans="2:6" x14ac:dyDescent="0.3">
      <c r="D31" s="376"/>
      <c r="E31" s="376"/>
      <c r="F31" s="372"/>
    </row>
    <row r="32" spans="2:6" x14ac:dyDescent="0.3">
      <c r="B32" s="369"/>
      <c r="C32" s="370"/>
      <c r="D32" s="371"/>
      <c r="F32" s="372"/>
    </row>
    <row r="33" spans="4:6" x14ac:dyDescent="0.3">
      <c r="D33" s="368"/>
      <c r="F33" s="372"/>
    </row>
    <row r="34" spans="4:6" x14ac:dyDescent="0.3">
      <c r="D34" s="371"/>
      <c r="F34" s="372"/>
    </row>
    <row r="35" spans="4:6" x14ac:dyDescent="0.3">
      <c r="D35" s="368"/>
      <c r="F35" s="372"/>
    </row>
    <row r="36" spans="4:6" x14ac:dyDescent="0.3">
      <c r="D36" s="368"/>
      <c r="F36" s="372"/>
    </row>
    <row r="37" spans="4:6" x14ac:dyDescent="0.3">
      <c r="D37" s="368"/>
      <c r="F37" s="372"/>
    </row>
    <row r="38" spans="4:6" x14ac:dyDescent="0.3">
      <c r="D38" s="368"/>
      <c r="F38" s="375"/>
    </row>
    <row r="39" spans="4:6" x14ac:dyDescent="0.3">
      <c r="F39" s="372"/>
    </row>
    <row r="40" spans="4:6" x14ac:dyDescent="0.3">
      <c r="F40" s="372"/>
    </row>
    <row r="41" spans="4:6" x14ac:dyDescent="0.3">
      <c r="F41" s="377"/>
    </row>
    <row r="42" spans="4:6" x14ac:dyDescent="0.3">
      <c r="F42" s="377"/>
    </row>
    <row r="43" spans="4:6" x14ac:dyDescent="0.3">
      <c r="F43" s="377"/>
    </row>
    <row r="44" spans="4:6" x14ac:dyDescent="0.3">
      <c r="F44" s="377"/>
    </row>
    <row r="45" spans="4:6" x14ac:dyDescent="0.3">
      <c r="F45" s="377"/>
    </row>
    <row r="46" spans="4:6" x14ac:dyDescent="0.3">
      <c r="F46" s="377"/>
    </row>
    <row r="47" spans="4:6" x14ac:dyDescent="0.3">
      <c r="F47" s="377"/>
    </row>
    <row r="48" spans="4:6" x14ac:dyDescent="0.3">
      <c r="F48" s="377"/>
    </row>
    <row r="49" spans="6:6" x14ac:dyDescent="0.3">
      <c r="F49" s="377"/>
    </row>
    <row r="50" spans="6:6" x14ac:dyDescent="0.3">
      <c r="F50" s="377"/>
    </row>
    <row r="51" spans="6:6" x14ac:dyDescent="0.3">
      <c r="F51" s="377"/>
    </row>
    <row r="52" spans="6:6" x14ac:dyDescent="0.3">
      <c r="F52" s="377"/>
    </row>
    <row r="53" spans="6:6" x14ac:dyDescent="0.3">
      <c r="F53" s="377"/>
    </row>
    <row r="54" spans="6:6" x14ac:dyDescent="0.3">
      <c r="F54" s="377"/>
    </row>
    <row r="55" spans="6:6" x14ac:dyDescent="0.3">
      <c r="F55" s="377"/>
    </row>
    <row r="56" spans="6:6" x14ac:dyDescent="0.3">
      <c r="F56" s="377"/>
    </row>
    <row r="57" spans="6:6" x14ac:dyDescent="0.3">
      <c r="F57" s="377"/>
    </row>
    <row r="58" spans="6:6" x14ac:dyDescent="0.3">
      <c r="F58" s="377"/>
    </row>
    <row r="59" spans="6:6" x14ac:dyDescent="0.3">
      <c r="F59" s="377"/>
    </row>
    <row r="60" spans="6:6" x14ac:dyDescent="0.3">
      <c r="F60" s="377"/>
    </row>
    <row r="61" spans="6:6" x14ac:dyDescent="0.3">
      <c r="F61" s="377"/>
    </row>
    <row r="62" spans="6:6" x14ac:dyDescent="0.3">
      <c r="F62" s="377"/>
    </row>
    <row r="63" spans="6:6" x14ac:dyDescent="0.3">
      <c r="F63" s="377"/>
    </row>
    <row r="64" spans="6:6" x14ac:dyDescent="0.3">
      <c r="F64" s="377"/>
    </row>
    <row r="65" spans="6:6" x14ac:dyDescent="0.3">
      <c r="F65" s="377"/>
    </row>
    <row r="66" spans="6:6" x14ac:dyDescent="0.3">
      <c r="F66" s="377"/>
    </row>
    <row r="67" spans="6:6" x14ac:dyDescent="0.3">
      <c r="F67" s="377"/>
    </row>
    <row r="68" spans="6:6" x14ac:dyDescent="0.3">
      <c r="F68" s="377"/>
    </row>
    <row r="69" spans="6:6" x14ac:dyDescent="0.3">
      <c r="F69" s="377"/>
    </row>
    <row r="70" spans="6:6" x14ac:dyDescent="0.3">
      <c r="F70" s="377"/>
    </row>
    <row r="71" spans="6:6" x14ac:dyDescent="0.3">
      <c r="F71" s="377"/>
    </row>
    <row r="72" spans="6:6" x14ac:dyDescent="0.3">
      <c r="F72" s="377"/>
    </row>
    <row r="73" spans="6:6" x14ac:dyDescent="0.3">
      <c r="F73" s="377"/>
    </row>
    <row r="74" spans="6:6" x14ac:dyDescent="0.3">
      <c r="F74" s="377"/>
    </row>
    <row r="75" spans="6:6" x14ac:dyDescent="0.3">
      <c r="F75" s="377"/>
    </row>
    <row r="76" spans="6:6" x14ac:dyDescent="0.3">
      <c r="F76" s="377"/>
    </row>
    <row r="77" spans="6:6" x14ac:dyDescent="0.3">
      <c r="F77" s="377"/>
    </row>
    <row r="78" spans="6:6" x14ac:dyDescent="0.3">
      <c r="F78" s="377"/>
    </row>
    <row r="79" spans="6:6" x14ac:dyDescent="0.3">
      <c r="F79" s="377"/>
    </row>
    <row r="80" spans="6:6" x14ac:dyDescent="0.3">
      <c r="F80" s="377"/>
    </row>
    <row r="81" spans="6:6" x14ac:dyDescent="0.3">
      <c r="F81" s="377"/>
    </row>
    <row r="82" spans="6:6" x14ac:dyDescent="0.3">
      <c r="F82" s="377"/>
    </row>
    <row r="83" spans="6:6" x14ac:dyDescent="0.3">
      <c r="F83" s="377"/>
    </row>
    <row r="84" spans="6:6" x14ac:dyDescent="0.3">
      <c r="F84" s="377"/>
    </row>
    <row r="85" spans="6:6" x14ac:dyDescent="0.3">
      <c r="F85" s="377"/>
    </row>
    <row r="86" spans="6:6" x14ac:dyDescent="0.3">
      <c r="F86" s="377"/>
    </row>
    <row r="87" spans="6:6" x14ac:dyDescent="0.3">
      <c r="F87" s="377"/>
    </row>
    <row r="88" spans="6:6" x14ac:dyDescent="0.3">
      <c r="F88" s="377"/>
    </row>
    <row r="89" spans="6:6" x14ac:dyDescent="0.3">
      <c r="F89" s="377"/>
    </row>
    <row r="90" spans="6:6" x14ac:dyDescent="0.3">
      <c r="F90" s="377"/>
    </row>
    <row r="91" spans="6:6" x14ac:dyDescent="0.3">
      <c r="F91" s="377"/>
    </row>
    <row r="92" spans="6:6" x14ac:dyDescent="0.3">
      <c r="F92" s="377"/>
    </row>
    <row r="93" spans="6:6" x14ac:dyDescent="0.3">
      <c r="F93" s="377"/>
    </row>
    <row r="94" spans="6:6" x14ac:dyDescent="0.3">
      <c r="F94" s="377"/>
    </row>
    <row r="95" spans="6:6" x14ac:dyDescent="0.3">
      <c r="F95" s="377"/>
    </row>
    <row r="96" spans="6:6" x14ac:dyDescent="0.3">
      <c r="F96" s="377"/>
    </row>
    <row r="97" spans="6:6" x14ac:dyDescent="0.3">
      <c r="F97" s="377"/>
    </row>
    <row r="98" spans="6:6" x14ac:dyDescent="0.3">
      <c r="F98" s="377"/>
    </row>
    <row r="99" spans="6:6" x14ac:dyDescent="0.3">
      <c r="F99" s="377"/>
    </row>
    <row r="100" spans="6:6" x14ac:dyDescent="0.3">
      <c r="F100" s="377"/>
    </row>
    <row r="101" spans="6:6" x14ac:dyDescent="0.3">
      <c r="F101" s="377"/>
    </row>
    <row r="102" spans="6:6" x14ac:dyDescent="0.3">
      <c r="F102" s="377"/>
    </row>
    <row r="103" spans="6:6" x14ac:dyDescent="0.3">
      <c r="F103" s="377"/>
    </row>
    <row r="104" spans="6:6" x14ac:dyDescent="0.3">
      <c r="F104" s="377"/>
    </row>
    <row r="105" spans="6:6" x14ac:dyDescent="0.3">
      <c r="F105" s="377"/>
    </row>
    <row r="106" spans="6:6" x14ac:dyDescent="0.3">
      <c r="F106" s="3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AEFA-A2F4-49FB-81A8-8F121923B372}">
  <dimension ref="B2:F19"/>
  <sheetViews>
    <sheetView workbookViewId="0">
      <selection activeCell="L17" sqref="L17"/>
    </sheetView>
  </sheetViews>
  <sheetFormatPr defaultRowHeight="13.8" x14ac:dyDescent="0.25"/>
  <cols>
    <col min="1" max="1" width="8.88671875" style="286"/>
    <col min="2" max="2" width="27.109375" style="286" customWidth="1"/>
    <col min="3" max="3" width="14" style="286" customWidth="1"/>
    <col min="4" max="4" width="12.88671875" style="286" customWidth="1"/>
    <col min="5" max="5" width="10.33203125" style="286" bestFit="1" customWidth="1"/>
    <col min="6" max="16384" width="8.88671875" style="286"/>
  </cols>
  <sheetData>
    <row r="2" spans="2:6" x14ac:dyDescent="0.25">
      <c r="B2" s="379" t="s">
        <v>346</v>
      </c>
      <c r="C2" s="379"/>
      <c r="D2" s="379"/>
      <c r="E2" s="379"/>
      <c r="F2" s="300"/>
    </row>
    <row r="3" spans="2:6" x14ac:dyDescent="0.25">
      <c r="B3" s="380" t="s">
        <v>347</v>
      </c>
      <c r="C3" s="380" t="s">
        <v>348</v>
      </c>
      <c r="D3" s="380" t="s">
        <v>349</v>
      </c>
      <c r="E3" s="380" t="s">
        <v>350</v>
      </c>
      <c r="F3" s="300"/>
    </row>
    <row r="4" spans="2:6" x14ac:dyDescent="0.25">
      <c r="B4" s="289" t="s">
        <v>24</v>
      </c>
      <c r="C4" s="276"/>
      <c r="D4" s="276"/>
      <c r="E4" s="289" t="s">
        <v>136</v>
      </c>
      <c r="F4" s="300"/>
    </row>
    <row r="5" spans="2:6" x14ac:dyDescent="0.25">
      <c r="B5" s="289" t="s">
        <v>351</v>
      </c>
      <c r="C5" s="276">
        <v>4</v>
      </c>
      <c r="D5" s="276">
        <v>12</v>
      </c>
      <c r="E5" s="276" t="s">
        <v>352</v>
      </c>
      <c r="F5" s="300"/>
    </row>
    <row r="6" spans="2:6" x14ac:dyDescent="0.25">
      <c r="B6" s="276"/>
      <c r="C6" s="276"/>
      <c r="D6" s="276"/>
      <c r="E6" s="276"/>
      <c r="F6" s="300"/>
    </row>
    <row r="7" spans="2:6" x14ac:dyDescent="0.25">
      <c r="B7" s="380" t="s">
        <v>347</v>
      </c>
      <c r="C7" s="380" t="s">
        <v>353</v>
      </c>
      <c r="D7" s="381"/>
      <c r="E7" s="381"/>
      <c r="F7" s="300"/>
    </row>
    <row r="8" spans="2:6" x14ac:dyDescent="0.25">
      <c r="B8" s="289" t="s">
        <v>24</v>
      </c>
      <c r="C8" s="276"/>
      <c r="D8" s="276"/>
      <c r="E8" s="276"/>
      <c r="F8" s="300"/>
    </row>
    <row r="9" spans="2:6" x14ac:dyDescent="0.25">
      <c r="B9" s="289" t="s">
        <v>354</v>
      </c>
      <c r="C9" s="276">
        <v>22</v>
      </c>
      <c r="D9" s="276"/>
      <c r="E9" s="276" t="s">
        <v>355</v>
      </c>
      <c r="F9" s="300"/>
    </row>
    <row r="10" spans="2:6" x14ac:dyDescent="0.25">
      <c r="B10" s="300"/>
      <c r="C10" s="300"/>
      <c r="D10" s="300"/>
      <c r="E10" s="300"/>
      <c r="F10" s="300"/>
    </row>
    <row r="11" spans="2:6" x14ac:dyDescent="0.25">
      <c r="B11" s="379" t="s">
        <v>356</v>
      </c>
      <c r="C11" s="379"/>
      <c r="D11" s="379"/>
      <c r="E11" s="379"/>
      <c r="F11" s="300"/>
    </row>
    <row r="12" spans="2:6" x14ac:dyDescent="0.25">
      <c r="B12" s="380" t="s">
        <v>347</v>
      </c>
      <c r="C12" s="380" t="s">
        <v>357</v>
      </c>
      <c r="D12" s="380"/>
      <c r="E12" s="380" t="s">
        <v>350</v>
      </c>
      <c r="F12" s="300"/>
    </row>
    <row r="13" spans="2:6" x14ac:dyDescent="0.25">
      <c r="B13" s="289" t="s">
        <v>24</v>
      </c>
      <c r="C13" s="276"/>
      <c r="D13" s="276"/>
      <c r="E13" s="289" t="s">
        <v>136</v>
      </c>
      <c r="F13" s="300"/>
    </row>
    <row r="14" spans="2:6" x14ac:dyDescent="0.25">
      <c r="B14" s="289" t="s">
        <v>351</v>
      </c>
      <c r="C14" s="276">
        <v>20</v>
      </c>
      <c r="D14" s="276"/>
      <c r="E14" s="276" t="s">
        <v>352</v>
      </c>
      <c r="F14" s="300"/>
    </row>
    <row r="15" spans="2:6" x14ac:dyDescent="0.25">
      <c r="B15" s="276"/>
      <c r="C15" s="276"/>
      <c r="D15" s="276"/>
      <c r="E15" s="276"/>
      <c r="F15" s="300"/>
    </row>
    <row r="16" spans="2:6" x14ac:dyDescent="0.25">
      <c r="B16" s="380" t="s">
        <v>347</v>
      </c>
      <c r="C16" s="380" t="s">
        <v>353</v>
      </c>
      <c r="D16" s="381"/>
      <c r="E16" s="381"/>
      <c r="F16" s="300"/>
    </row>
    <row r="17" spans="2:6" x14ac:dyDescent="0.25">
      <c r="B17" s="289" t="s">
        <v>24</v>
      </c>
      <c r="C17" s="276"/>
      <c r="D17" s="276"/>
      <c r="E17" s="276"/>
      <c r="F17" s="300"/>
    </row>
    <row r="18" spans="2:6" x14ac:dyDescent="0.25">
      <c r="B18" s="289" t="s">
        <v>354</v>
      </c>
      <c r="C18" s="276">
        <v>27</v>
      </c>
      <c r="D18" s="276"/>
      <c r="E18" s="276" t="s">
        <v>355</v>
      </c>
      <c r="F18" s="300"/>
    </row>
    <row r="19" spans="2:6" x14ac:dyDescent="0.25">
      <c r="B19" s="300"/>
      <c r="C19" s="300"/>
      <c r="D19" s="300"/>
      <c r="E19" s="300"/>
      <c r="F19" s="300"/>
    </row>
  </sheetData>
  <mergeCells count="2">
    <mergeCell ref="B2:E2"/>
    <mergeCell ref="B11:E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E781-7C1A-4B60-A529-C1F3A928B2B5}">
  <dimension ref="B2:N26"/>
  <sheetViews>
    <sheetView workbookViewId="0">
      <selection activeCell="N18" sqref="N18"/>
    </sheetView>
  </sheetViews>
  <sheetFormatPr defaultRowHeight="13.8" x14ac:dyDescent="0.25"/>
  <cols>
    <col min="1" max="2" width="8.88671875" style="385"/>
    <col min="3" max="3" width="15.77734375" style="385" bestFit="1" customWidth="1"/>
    <col min="4" max="4" width="17" style="385" bestFit="1" customWidth="1"/>
    <col min="5" max="5" width="10.21875" style="385" bestFit="1" customWidth="1"/>
    <col min="6" max="6" width="8.88671875" style="386"/>
    <col min="7" max="9" width="8.88671875" style="385"/>
    <col min="10" max="10" width="21.6640625" style="385" bestFit="1" customWidth="1"/>
    <col min="11" max="11" width="9.5546875" style="385" bestFit="1" customWidth="1"/>
    <col min="12" max="13" width="8.88671875" style="385"/>
    <col min="14" max="14" width="27.109375" style="385" bestFit="1" customWidth="1"/>
    <col min="15" max="16384" width="8.88671875" style="385"/>
  </cols>
  <sheetData>
    <row r="2" spans="2:12" x14ac:dyDescent="0.25">
      <c r="B2" s="409" t="s">
        <v>358</v>
      </c>
      <c r="C2" s="409"/>
      <c r="D2" s="409"/>
      <c r="E2" s="409"/>
      <c r="F2" s="409"/>
      <c r="H2" s="409" t="s">
        <v>359</v>
      </c>
      <c r="I2" s="409"/>
      <c r="J2" s="409"/>
      <c r="K2" s="409"/>
      <c r="L2" s="409"/>
    </row>
    <row r="3" spans="2:12" x14ac:dyDescent="0.25">
      <c r="B3" s="401"/>
      <c r="C3" s="401"/>
      <c r="D3" s="401"/>
      <c r="E3" s="401"/>
      <c r="F3" s="401"/>
      <c r="H3" s="400"/>
      <c r="I3" s="400"/>
      <c r="J3" s="400"/>
      <c r="K3" s="400"/>
      <c r="L3" s="400"/>
    </row>
    <row r="4" spans="2:12" x14ac:dyDescent="0.25">
      <c r="B4" s="382" t="s">
        <v>360</v>
      </c>
      <c r="C4" s="407"/>
      <c r="D4" s="407"/>
      <c r="E4" s="407"/>
      <c r="F4" s="408"/>
      <c r="H4" s="382" t="s">
        <v>361</v>
      </c>
      <c r="I4" s="407"/>
      <c r="J4" s="407"/>
      <c r="K4" s="407"/>
      <c r="L4" s="408"/>
    </row>
    <row r="5" spans="2:12" x14ac:dyDescent="0.25">
      <c r="B5" s="389" t="s">
        <v>229</v>
      </c>
      <c r="C5" s="389">
        <v>48.3</v>
      </c>
      <c r="D5" s="389">
        <v>13</v>
      </c>
      <c r="E5" s="389">
        <f t="shared" ref="E5" si="0">C5*3.14</f>
        <v>151.66200000000001</v>
      </c>
      <c r="F5" s="390">
        <f t="shared" ref="F5" si="1">(E5*D5)/1000</f>
        <v>1.971606</v>
      </c>
      <c r="H5" s="389" t="s">
        <v>201</v>
      </c>
      <c r="I5" s="389">
        <v>21.3</v>
      </c>
      <c r="J5" s="389">
        <v>1</v>
      </c>
      <c r="K5" s="389">
        <f>I5*3.14</f>
        <v>66.882000000000005</v>
      </c>
      <c r="L5" s="390">
        <f>(K5*J5)/1000</f>
        <v>6.6882000000000011E-2</v>
      </c>
    </row>
    <row r="6" spans="2:12" x14ac:dyDescent="0.25">
      <c r="B6" s="389"/>
      <c r="C6" s="389"/>
      <c r="D6" s="389"/>
      <c r="E6" s="389"/>
      <c r="F6" s="388">
        <f>SUM(F5)</f>
        <v>1.971606</v>
      </c>
      <c r="H6" s="389" t="s">
        <v>296</v>
      </c>
      <c r="I6" s="389">
        <v>33.4</v>
      </c>
      <c r="J6" s="389">
        <v>4</v>
      </c>
      <c r="K6" s="389">
        <f t="shared" ref="K6:K7" si="2">I6*3.14</f>
        <v>104.876</v>
      </c>
      <c r="L6" s="390">
        <f t="shared" ref="L6:L7" si="3">(K6*J6)/1000</f>
        <v>0.41950400000000004</v>
      </c>
    </row>
    <row r="7" spans="2:12" x14ac:dyDescent="0.25">
      <c r="B7" s="392"/>
      <c r="C7" s="393"/>
      <c r="D7" s="393"/>
      <c r="E7" s="393"/>
      <c r="F7" s="394"/>
      <c r="H7" s="389" t="s">
        <v>229</v>
      </c>
      <c r="I7" s="389">
        <v>48.3</v>
      </c>
      <c r="J7" s="389">
        <v>5</v>
      </c>
      <c r="K7" s="389">
        <f t="shared" si="2"/>
        <v>151.66200000000001</v>
      </c>
      <c r="L7" s="390">
        <f t="shared" si="3"/>
        <v>0.75831000000000004</v>
      </c>
    </row>
    <row r="8" spans="2:12" x14ac:dyDescent="0.25">
      <c r="B8" s="382" t="s">
        <v>362</v>
      </c>
      <c r="C8" s="407"/>
      <c r="D8" s="407"/>
      <c r="E8" s="407"/>
      <c r="F8" s="408"/>
      <c r="H8" s="389" t="s">
        <v>230</v>
      </c>
      <c r="I8" s="389">
        <v>60.3</v>
      </c>
      <c r="J8" s="389">
        <v>4</v>
      </c>
      <c r="K8" s="389">
        <f>I8*3.14</f>
        <v>189.34199999999998</v>
      </c>
      <c r="L8" s="390">
        <f>(K8*J8)/1000</f>
        <v>0.75736799999999993</v>
      </c>
    </row>
    <row r="9" spans="2:12" x14ac:dyDescent="0.25">
      <c r="B9" s="391" t="s">
        <v>300</v>
      </c>
      <c r="C9" s="389">
        <v>88.9</v>
      </c>
      <c r="D9" s="389">
        <v>11</v>
      </c>
      <c r="E9" s="389">
        <f t="shared" ref="E9" si="4">C9*3.14</f>
        <v>279.14600000000002</v>
      </c>
      <c r="F9" s="390">
        <f>(E9*D9)/1000</f>
        <v>3.0706060000000002</v>
      </c>
      <c r="H9" s="389"/>
      <c r="I9" s="389"/>
      <c r="J9" s="389"/>
      <c r="K9" s="389"/>
      <c r="L9" s="388">
        <f>SUM(L5:L8)</f>
        <v>2.0020639999999998</v>
      </c>
    </row>
    <row r="10" spans="2:12" x14ac:dyDescent="0.25">
      <c r="B10" s="389"/>
      <c r="C10" s="389"/>
      <c r="D10" s="389"/>
      <c r="E10" s="389"/>
      <c r="F10" s="388">
        <f>SUM(F9:F9)</f>
        <v>3.0706060000000002</v>
      </c>
    </row>
    <row r="11" spans="2:12" x14ac:dyDescent="0.25">
      <c r="B11" s="397"/>
      <c r="C11" s="397"/>
      <c r="D11" s="397"/>
      <c r="E11" s="397"/>
      <c r="F11" s="398"/>
      <c r="H11" s="382" t="s">
        <v>363</v>
      </c>
      <c r="I11" s="407"/>
      <c r="J11" s="407"/>
      <c r="K11" s="407"/>
      <c r="L11" s="408"/>
    </row>
    <row r="12" spans="2:12" x14ac:dyDescent="0.25">
      <c r="B12" s="397"/>
      <c r="C12" s="397"/>
      <c r="D12" s="397"/>
      <c r="E12" s="397"/>
      <c r="F12" s="398"/>
      <c r="H12" s="389" t="s">
        <v>201</v>
      </c>
      <c r="I12" s="389">
        <v>21.3</v>
      </c>
      <c r="J12" s="389">
        <v>14</v>
      </c>
      <c r="K12" s="389">
        <f>I12*3.14</f>
        <v>66.882000000000005</v>
      </c>
      <c r="L12" s="390">
        <f>(K12*J12)/1000</f>
        <v>0.93634800000000007</v>
      </c>
    </row>
    <row r="13" spans="2:12" x14ac:dyDescent="0.25">
      <c r="B13" s="397"/>
      <c r="C13" s="397"/>
      <c r="D13" s="397"/>
      <c r="E13" s="397"/>
      <c r="F13" s="398"/>
      <c r="H13" s="389" t="s">
        <v>229</v>
      </c>
      <c r="I13" s="389">
        <v>48.3</v>
      </c>
      <c r="J13" s="389">
        <v>3</v>
      </c>
      <c r="K13" s="389">
        <f t="shared" ref="K13" si="5">I13*3.14</f>
        <v>151.66200000000001</v>
      </c>
      <c r="L13" s="390">
        <f t="shared" ref="L13" si="6">(K13*J13)/1000</f>
        <v>0.454986</v>
      </c>
    </row>
    <row r="14" spans="2:12" x14ac:dyDescent="0.25">
      <c r="B14" s="397"/>
      <c r="C14" s="397"/>
      <c r="D14" s="397"/>
      <c r="E14" s="397"/>
      <c r="F14" s="399"/>
      <c r="H14" s="389" t="s">
        <v>230</v>
      </c>
      <c r="I14" s="389">
        <v>60.3</v>
      </c>
      <c r="J14" s="389">
        <v>1</v>
      </c>
      <c r="K14" s="389">
        <f>I14*3.14</f>
        <v>189.34199999999998</v>
      </c>
      <c r="L14" s="390">
        <f>(K14*J14)/1000</f>
        <v>0.18934199999999998</v>
      </c>
    </row>
    <row r="15" spans="2:12" x14ac:dyDescent="0.25">
      <c r="B15" s="397"/>
      <c r="C15" s="397"/>
      <c r="D15" s="397"/>
      <c r="E15" s="397"/>
      <c r="F15" s="399"/>
      <c r="H15" s="389"/>
      <c r="I15" s="389"/>
      <c r="J15" s="389"/>
      <c r="K15" s="389"/>
      <c r="L15" s="388">
        <f>SUM(L12:L14)</f>
        <v>1.580676</v>
      </c>
    </row>
    <row r="16" spans="2:12" x14ac:dyDescent="0.25">
      <c r="F16" s="385"/>
      <c r="H16" s="393"/>
      <c r="I16" s="393"/>
      <c r="J16" s="393"/>
      <c r="K16" s="393"/>
      <c r="L16" s="403"/>
    </row>
    <row r="17" spans="2:14" x14ac:dyDescent="0.25">
      <c r="F17" s="385"/>
      <c r="H17" s="382" t="s">
        <v>360</v>
      </c>
      <c r="I17" s="407"/>
      <c r="J17" s="407"/>
      <c r="K17" s="407"/>
      <c r="L17" s="408"/>
      <c r="N17" s="402"/>
    </row>
    <row r="18" spans="2:14" x14ac:dyDescent="0.25">
      <c r="F18" s="385"/>
      <c r="H18" s="389" t="s">
        <v>229</v>
      </c>
      <c r="I18" s="389">
        <v>48.3</v>
      </c>
      <c r="J18" s="389">
        <v>13</v>
      </c>
      <c r="K18" s="389">
        <f t="shared" ref="K18" si="7">I18*3.14</f>
        <v>151.66200000000001</v>
      </c>
      <c r="L18" s="390">
        <f t="shared" ref="L18" si="8">(K18*J18)/1000</f>
        <v>1.971606</v>
      </c>
    </row>
    <row r="19" spans="2:14" x14ac:dyDescent="0.25">
      <c r="F19" s="385"/>
      <c r="H19" s="389"/>
      <c r="I19" s="389"/>
      <c r="J19" s="389"/>
      <c r="K19" s="389"/>
      <c r="L19" s="388">
        <f>SUM(L18)</f>
        <v>1.971606</v>
      </c>
    </row>
    <row r="20" spans="2:14" x14ac:dyDescent="0.25">
      <c r="F20" s="385"/>
      <c r="H20" s="393"/>
      <c r="I20" s="393"/>
      <c r="J20" s="393"/>
      <c r="K20" s="393"/>
      <c r="L20" s="403"/>
    </row>
    <row r="21" spans="2:14" x14ac:dyDescent="0.25">
      <c r="F21" s="385"/>
      <c r="H21" s="382" t="s">
        <v>362</v>
      </c>
      <c r="I21" s="407"/>
      <c r="J21" s="407"/>
      <c r="K21" s="407"/>
      <c r="L21" s="408"/>
    </row>
    <row r="22" spans="2:14" x14ac:dyDescent="0.25">
      <c r="F22" s="385"/>
      <c r="H22" s="391" t="s">
        <v>300</v>
      </c>
      <c r="I22" s="389">
        <v>88.9</v>
      </c>
      <c r="J22" s="389">
        <v>11</v>
      </c>
      <c r="K22" s="389">
        <f t="shared" ref="K22" si="9">I22*3.14</f>
        <v>279.14600000000002</v>
      </c>
      <c r="L22" s="390">
        <f>(K22*J22)/1000</f>
        <v>3.0706060000000002</v>
      </c>
    </row>
    <row r="23" spans="2:14" x14ac:dyDescent="0.25">
      <c r="B23" s="397"/>
      <c r="C23" s="397"/>
      <c r="D23" s="397"/>
      <c r="E23" s="397"/>
      <c r="F23" s="399"/>
      <c r="H23" s="389"/>
      <c r="I23" s="389"/>
      <c r="J23" s="389"/>
      <c r="K23" s="389"/>
      <c r="L23" s="388">
        <f>SUM(L22:L22)</f>
        <v>3.0706060000000002</v>
      </c>
    </row>
    <row r="24" spans="2:14" x14ac:dyDescent="0.25">
      <c r="H24" s="395"/>
      <c r="I24" s="395"/>
      <c r="J24" s="395"/>
      <c r="K24" s="395"/>
      <c r="L24" s="396"/>
    </row>
    <row r="25" spans="2:14" ht="14.4" thickBot="1" x14ac:dyDescent="0.3"/>
    <row r="26" spans="2:14" ht="14.4" thickBot="1" x14ac:dyDescent="0.3">
      <c r="J26" s="387" t="s">
        <v>364</v>
      </c>
      <c r="K26" s="404">
        <v>9</v>
      </c>
      <c r="L26" s="405" t="s">
        <v>365</v>
      </c>
    </row>
  </sheetData>
  <mergeCells count="8">
    <mergeCell ref="H21:L21"/>
    <mergeCell ref="B2:F2"/>
    <mergeCell ref="H2:L2"/>
    <mergeCell ref="B4:F4"/>
    <mergeCell ref="B8:F8"/>
    <mergeCell ref="H4:L4"/>
    <mergeCell ref="H11:L11"/>
    <mergeCell ref="H17:L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6DD8-72A1-4DC3-96B4-D07B825DF9BA}">
  <dimension ref="A1:O24"/>
  <sheetViews>
    <sheetView workbookViewId="0">
      <selection activeCell="P19" sqref="P19"/>
    </sheetView>
  </sheetViews>
  <sheetFormatPr defaultRowHeight="14.4" x14ac:dyDescent="0.3"/>
  <cols>
    <col min="1" max="1" width="11.21875" style="383" bestFit="1" customWidth="1"/>
    <col min="2" max="2" width="12.5546875" style="383" bestFit="1" customWidth="1"/>
    <col min="3" max="3" width="23.44140625" style="383" bestFit="1" customWidth="1"/>
    <col min="4" max="4" width="14.33203125" style="383" bestFit="1" customWidth="1"/>
    <col min="5" max="5" width="12.5546875" style="383" bestFit="1" customWidth="1"/>
    <col min="6" max="6" width="17.21875" style="383" bestFit="1" customWidth="1"/>
    <col min="7" max="8" width="18.5546875" style="383" bestFit="1" customWidth="1"/>
    <col min="9" max="9" width="17.21875" style="383" bestFit="1" customWidth="1"/>
    <col min="10" max="10" width="6.6640625" style="383" bestFit="1" customWidth="1"/>
    <col min="11" max="11" width="5.5546875" style="383" bestFit="1" customWidth="1"/>
    <col min="12" max="12" width="6.6640625" style="383" bestFit="1" customWidth="1"/>
    <col min="13" max="13" width="5.44140625" style="383" bestFit="1" customWidth="1"/>
    <col min="14" max="16384" width="8.88671875" style="383"/>
  </cols>
  <sheetData>
    <row r="1" spans="1:15" ht="15" thickBot="1" x14ac:dyDescent="0.35"/>
    <row r="2" spans="1:15" s="384" customFormat="1" thickBot="1" x14ac:dyDescent="0.3">
      <c r="A2" s="397"/>
      <c r="B2" s="410" t="s">
        <v>366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2"/>
      <c r="O2" s="397"/>
    </row>
    <row r="3" spans="1:15" s="397" customFormat="1" ht="13.8" x14ac:dyDescent="0.3">
      <c r="B3" s="413" t="s">
        <v>367</v>
      </c>
      <c r="C3" s="414" t="s">
        <v>22</v>
      </c>
      <c r="D3" s="415" t="s">
        <v>368</v>
      </c>
      <c r="E3" s="416" t="s">
        <v>369</v>
      </c>
      <c r="F3" s="416" t="s">
        <v>370</v>
      </c>
      <c r="G3" s="416" t="s">
        <v>371</v>
      </c>
      <c r="H3" s="416" t="s">
        <v>372</v>
      </c>
      <c r="I3" s="416" t="s">
        <v>373</v>
      </c>
      <c r="J3" s="416" t="s">
        <v>374</v>
      </c>
      <c r="K3" s="416" t="s">
        <v>266</v>
      </c>
      <c r="L3" s="416" t="s">
        <v>374</v>
      </c>
      <c r="M3" s="416" t="s">
        <v>375</v>
      </c>
      <c r="N3" s="417" t="s">
        <v>136</v>
      </c>
    </row>
    <row r="4" spans="1:15" s="397" customFormat="1" ht="13.8" x14ac:dyDescent="0.3">
      <c r="B4" s="288"/>
      <c r="C4" s="406"/>
      <c r="D4" s="241"/>
      <c r="E4" s="418"/>
      <c r="F4" s="418"/>
      <c r="G4" s="418"/>
      <c r="H4" s="418"/>
      <c r="I4" s="418"/>
      <c r="J4" s="418"/>
      <c r="K4" s="418"/>
      <c r="L4" s="418"/>
      <c r="M4" s="418"/>
      <c r="N4" s="419"/>
    </row>
    <row r="5" spans="1:15" s="397" customFormat="1" ht="13.8" x14ac:dyDescent="0.3">
      <c r="B5" s="420" t="s">
        <v>43</v>
      </c>
      <c r="C5" s="406" t="s">
        <v>376</v>
      </c>
      <c r="D5" s="421">
        <v>13</v>
      </c>
      <c r="E5" s="422">
        <v>7</v>
      </c>
      <c r="F5" s="423">
        <f>(D5+E5)*8%</f>
        <v>1.6</v>
      </c>
      <c r="G5" s="423">
        <v>3</v>
      </c>
      <c r="H5" s="423">
        <v>3</v>
      </c>
      <c r="I5" s="423">
        <v>1</v>
      </c>
      <c r="J5" s="423">
        <f>(D5+E5)*5%</f>
        <v>1</v>
      </c>
      <c r="K5" s="424">
        <f>SUM(D5:J5)</f>
        <v>29.6</v>
      </c>
      <c r="L5" s="424">
        <v>2</v>
      </c>
      <c r="M5" s="425">
        <f>K5-J5+L5</f>
        <v>30.6</v>
      </c>
      <c r="N5" s="426" t="s">
        <v>377</v>
      </c>
    </row>
    <row r="6" spans="1:15" s="397" customFormat="1" ht="13.8" x14ac:dyDescent="0.3">
      <c r="B6" s="427"/>
      <c r="C6" s="428" t="s">
        <v>378</v>
      </c>
      <c r="D6" s="429">
        <v>2</v>
      </c>
      <c r="E6" s="430">
        <v>4</v>
      </c>
      <c r="F6" s="430">
        <f>(D6+E6)*8%</f>
        <v>0.48</v>
      </c>
      <c r="G6" s="430">
        <v>1</v>
      </c>
      <c r="H6" s="430">
        <v>1</v>
      </c>
      <c r="I6" s="430">
        <v>1</v>
      </c>
      <c r="J6" s="430">
        <f>(D6+E6)*5%</f>
        <v>0.30000000000000004</v>
      </c>
      <c r="K6" s="431">
        <f>SUM(D6:J6)</f>
        <v>9.7800000000000011</v>
      </c>
      <c r="L6" s="431">
        <v>2</v>
      </c>
      <c r="M6" s="432">
        <f t="shared" ref="M6" si="0">K6-J6+L6</f>
        <v>11.48</v>
      </c>
      <c r="N6" s="433" t="s">
        <v>377</v>
      </c>
    </row>
    <row r="7" spans="1:15" s="397" customFormat="1" ht="13.8" x14ac:dyDescent="0.3">
      <c r="B7" s="288"/>
      <c r="C7" s="406"/>
      <c r="D7" s="241"/>
      <c r="E7" s="418"/>
      <c r="F7" s="418"/>
      <c r="G7" s="418"/>
      <c r="H7" s="418"/>
      <c r="I7" s="418"/>
      <c r="J7" s="418"/>
      <c r="K7" s="418"/>
      <c r="L7" s="418"/>
      <c r="M7" s="418"/>
      <c r="N7" s="419"/>
    </row>
    <row r="8" spans="1:15" s="397" customFormat="1" ht="13.8" x14ac:dyDescent="0.3">
      <c r="B8" s="420" t="s">
        <v>48</v>
      </c>
      <c r="C8" s="406" t="s">
        <v>379</v>
      </c>
      <c r="D8" s="421">
        <v>12</v>
      </c>
      <c r="E8" s="422">
        <v>5</v>
      </c>
      <c r="F8" s="423">
        <f>(D8+E8)*8%</f>
        <v>1.36</v>
      </c>
      <c r="G8" s="423">
        <v>2</v>
      </c>
      <c r="H8" s="423">
        <v>2</v>
      </c>
      <c r="I8" s="423">
        <v>1</v>
      </c>
      <c r="J8" s="423">
        <f>(D8+E8)*5%</f>
        <v>0.85000000000000009</v>
      </c>
      <c r="K8" s="424">
        <f>SUM(D8:J8)</f>
        <v>24.21</v>
      </c>
      <c r="L8" s="424">
        <v>2</v>
      </c>
      <c r="M8" s="425">
        <f>K8-J8+L8</f>
        <v>25.36</v>
      </c>
      <c r="N8" s="426" t="s">
        <v>377</v>
      </c>
    </row>
    <row r="9" spans="1:15" s="397" customFormat="1" ht="13.8" x14ac:dyDescent="0.3">
      <c r="B9" s="288"/>
      <c r="C9" s="406"/>
      <c r="D9" s="241"/>
      <c r="E9" s="418"/>
      <c r="F9" s="418"/>
      <c r="G9" s="418"/>
      <c r="H9" s="418"/>
      <c r="I9" s="418"/>
      <c r="J9" s="418"/>
      <c r="K9" s="418"/>
      <c r="L9" s="418"/>
      <c r="M9" s="418"/>
      <c r="N9" s="419"/>
    </row>
    <row r="10" spans="1:15" s="397" customFormat="1" ht="13.8" x14ac:dyDescent="0.3">
      <c r="B10" s="420" t="s">
        <v>380</v>
      </c>
      <c r="C10" s="406" t="s">
        <v>381</v>
      </c>
      <c r="D10" s="421">
        <v>8</v>
      </c>
      <c r="E10" s="422">
        <v>5</v>
      </c>
      <c r="F10" s="423">
        <f>(D10+E10)*8%</f>
        <v>1.04</v>
      </c>
      <c r="G10" s="423">
        <v>2</v>
      </c>
      <c r="H10" s="423">
        <v>2</v>
      </c>
      <c r="I10" s="423">
        <v>1</v>
      </c>
      <c r="J10" s="423">
        <f>(D10+E10)*5%</f>
        <v>0.65</v>
      </c>
      <c r="K10" s="424">
        <f>SUM(D10:J10)</f>
        <v>19.689999999999998</v>
      </c>
      <c r="L10" s="424">
        <v>3</v>
      </c>
      <c r="M10" s="425">
        <f>K10-J10+L10</f>
        <v>22.04</v>
      </c>
      <c r="N10" s="426" t="s">
        <v>377</v>
      </c>
    </row>
    <row r="11" spans="1:15" s="397" customFormat="1" ht="13.8" x14ac:dyDescent="0.3">
      <c r="B11" s="427"/>
      <c r="C11" s="389"/>
      <c r="D11" s="421"/>
      <c r="E11" s="422"/>
      <c r="F11" s="423"/>
      <c r="G11" s="423"/>
      <c r="H11" s="423"/>
      <c r="I11" s="423"/>
      <c r="J11" s="423"/>
      <c r="K11" s="424"/>
      <c r="L11" s="424"/>
      <c r="M11" s="425"/>
      <c r="N11" s="426"/>
    </row>
    <row r="12" spans="1:15" s="397" customFormat="1" thickBot="1" x14ac:dyDescent="0.35">
      <c r="B12" s="434"/>
      <c r="C12" s="282"/>
      <c r="D12" s="435"/>
      <c r="E12" s="436"/>
      <c r="F12" s="436"/>
      <c r="G12" s="436"/>
      <c r="H12" s="436"/>
      <c r="I12" s="436"/>
      <c r="J12" s="436"/>
      <c r="K12" s="437"/>
      <c r="L12" s="437"/>
      <c r="M12" s="438"/>
      <c r="N12" s="439"/>
    </row>
    <row r="13" spans="1:15" ht="15" thickBot="1" x14ac:dyDescent="0.35"/>
    <row r="14" spans="1:15" ht="15" thickBot="1" x14ac:dyDescent="0.35">
      <c r="B14" s="410" t="s">
        <v>382</v>
      </c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412"/>
    </row>
    <row r="15" spans="1:15" x14ac:dyDescent="0.3">
      <c r="B15" s="413" t="s">
        <v>367</v>
      </c>
      <c r="C15" s="414" t="s">
        <v>383</v>
      </c>
      <c r="D15" s="415" t="s">
        <v>368</v>
      </c>
      <c r="E15" s="416" t="s">
        <v>369</v>
      </c>
      <c r="F15" s="416" t="s">
        <v>370</v>
      </c>
      <c r="G15" s="416" t="s">
        <v>371</v>
      </c>
      <c r="H15" s="416" t="s">
        <v>372</v>
      </c>
      <c r="I15" s="416" t="s">
        <v>373</v>
      </c>
      <c r="J15" s="416" t="s">
        <v>374</v>
      </c>
      <c r="K15" s="416" t="s">
        <v>266</v>
      </c>
      <c r="L15" s="416" t="s">
        <v>374</v>
      </c>
      <c r="M15" s="416" t="s">
        <v>375</v>
      </c>
      <c r="N15" s="417" t="s">
        <v>136</v>
      </c>
    </row>
    <row r="16" spans="1:15" x14ac:dyDescent="0.3">
      <c r="B16" s="288"/>
      <c r="C16" s="406"/>
      <c r="D16" s="241"/>
      <c r="E16" s="418"/>
      <c r="F16" s="418"/>
      <c r="G16" s="418"/>
      <c r="H16" s="418"/>
      <c r="I16" s="418"/>
      <c r="J16" s="418"/>
      <c r="K16" s="418"/>
      <c r="L16" s="418"/>
      <c r="M16" s="418"/>
      <c r="N16" s="419"/>
    </row>
    <row r="17" spans="2:14" x14ac:dyDescent="0.3">
      <c r="B17" s="420" t="s">
        <v>384</v>
      </c>
      <c r="C17" s="406" t="s">
        <v>74</v>
      </c>
      <c r="D17" s="421">
        <v>15</v>
      </c>
      <c r="E17" s="421">
        <v>4</v>
      </c>
      <c r="F17" s="423">
        <f>(D17+E17)*6%</f>
        <v>1.1399999999999999</v>
      </c>
      <c r="G17" s="423">
        <v>1.5</v>
      </c>
      <c r="H17" s="423">
        <v>1.5</v>
      </c>
      <c r="I17" s="423">
        <v>1</v>
      </c>
      <c r="J17" s="423">
        <f>(D17+E17)*5%</f>
        <v>0.95000000000000007</v>
      </c>
      <c r="K17" s="424">
        <f>SUM(D17:J17)</f>
        <v>25.09</v>
      </c>
      <c r="L17" s="424">
        <v>2</v>
      </c>
      <c r="M17" s="425">
        <f>K17-J17+L17</f>
        <v>26.14</v>
      </c>
      <c r="N17" s="426" t="s">
        <v>377</v>
      </c>
    </row>
    <row r="18" spans="2:14" ht="15" thickBot="1" x14ac:dyDescent="0.35">
      <c r="B18" s="434"/>
      <c r="C18" s="440"/>
      <c r="D18" s="435"/>
      <c r="E18" s="436"/>
      <c r="F18" s="441"/>
      <c r="G18" s="441"/>
      <c r="H18" s="441"/>
      <c r="I18" s="441"/>
      <c r="J18" s="441"/>
      <c r="K18" s="442"/>
      <c r="L18" s="442"/>
      <c r="M18" s="443"/>
      <c r="N18" s="439"/>
    </row>
    <row r="19" spans="2:14" ht="15" thickBot="1" x14ac:dyDescent="0.35"/>
    <row r="20" spans="2:14" ht="15" thickBot="1" x14ac:dyDescent="0.35">
      <c r="B20" s="444" t="s">
        <v>385</v>
      </c>
      <c r="C20" s="445"/>
      <c r="D20" s="445"/>
      <c r="E20" s="445"/>
      <c r="F20" s="445"/>
      <c r="G20" s="445"/>
      <c r="H20" s="445"/>
      <c r="I20" s="445"/>
      <c r="J20" s="445"/>
      <c r="K20" s="445"/>
      <c r="L20" s="445"/>
      <c r="M20" s="445"/>
      <c r="N20" s="446"/>
    </row>
    <row r="21" spans="2:14" x14ac:dyDescent="0.3">
      <c r="B21" s="413" t="s">
        <v>367</v>
      </c>
      <c r="C21" s="414" t="s">
        <v>383</v>
      </c>
      <c r="D21" s="415" t="s">
        <v>368</v>
      </c>
      <c r="E21" s="416" t="s">
        <v>369</v>
      </c>
      <c r="F21" s="416" t="s">
        <v>370</v>
      </c>
      <c r="G21" s="416" t="s">
        <v>371</v>
      </c>
      <c r="H21" s="416" t="s">
        <v>372</v>
      </c>
      <c r="I21" s="416" t="s">
        <v>373</v>
      </c>
      <c r="J21" s="416" t="s">
        <v>374</v>
      </c>
      <c r="K21" s="416" t="s">
        <v>266</v>
      </c>
      <c r="L21" s="416" t="s">
        <v>374</v>
      </c>
      <c r="M21" s="416" t="s">
        <v>375</v>
      </c>
      <c r="N21" s="417" t="s">
        <v>136</v>
      </c>
    </row>
    <row r="22" spans="2:14" x14ac:dyDescent="0.3">
      <c r="B22" s="288"/>
      <c r="C22" s="406"/>
      <c r="D22" s="241"/>
      <c r="E22" s="418"/>
      <c r="F22" s="418"/>
      <c r="G22" s="418"/>
      <c r="H22" s="418"/>
      <c r="I22" s="418"/>
      <c r="J22" s="418"/>
      <c r="K22" s="418"/>
      <c r="L22" s="418"/>
      <c r="M22" s="418"/>
      <c r="N22" s="419"/>
    </row>
    <row r="23" spans="2:14" x14ac:dyDescent="0.3">
      <c r="B23" s="447" t="s">
        <v>283</v>
      </c>
      <c r="C23" s="406" t="s">
        <v>386</v>
      </c>
      <c r="D23" s="448">
        <v>14</v>
      </c>
      <c r="E23" s="421">
        <v>4</v>
      </c>
      <c r="F23" s="423">
        <f>(D23+E23)*6%</f>
        <v>1.08</v>
      </c>
      <c r="G23" s="423">
        <v>1.5</v>
      </c>
      <c r="H23" s="423">
        <v>1.5</v>
      </c>
      <c r="I23" s="423">
        <v>1</v>
      </c>
      <c r="J23" s="423">
        <f>(D23+E23)*5%</f>
        <v>0.9</v>
      </c>
      <c r="K23" s="424">
        <f>SUM(D23:J23)</f>
        <v>23.979999999999997</v>
      </c>
      <c r="L23" s="424">
        <v>2</v>
      </c>
      <c r="M23" s="425">
        <f>K23-J23+L23</f>
        <v>25.08</v>
      </c>
      <c r="N23" s="426" t="s">
        <v>377</v>
      </c>
    </row>
    <row r="24" spans="2:14" ht="15" thickBot="1" x14ac:dyDescent="0.35">
      <c r="B24" s="434"/>
      <c r="C24" s="282"/>
      <c r="D24" s="449"/>
      <c r="E24" s="449"/>
      <c r="F24" s="441"/>
      <c r="G24" s="441"/>
      <c r="H24" s="441"/>
      <c r="I24" s="441"/>
      <c r="J24" s="441"/>
      <c r="K24" s="442"/>
      <c r="L24" s="442"/>
      <c r="M24" s="450"/>
      <c r="N24" s="439"/>
    </row>
  </sheetData>
  <mergeCells count="2">
    <mergeCell ref="B2:N2"/>
    <mergeCell ref="B14:N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71BD-D857-411C-8777-6C81AE02BFC2}">
  <dimension ref="A1:L23"/>
  <sheetViews>
    <sheetView workbookViewId="0">
      <selection activeCell="K18" sqref="K18"/>
    </sheetView>
  </sheetViews>
  <sheetFormatPr defaultColWidth="8.88671875" defaultRowHeight="13.8" x14ac:dyDescent="0.25"/>
  <cols>
    <col min="1" max="1" width="13" style="397" customWidth="1"/>
    <col min="2" max="2" width="20.77734375" style="397" customWidth="1"/>
    <col min="3" max="3" width="23.44140625" style="462" bestFit="1" customWidth="1"/>
    <col min="4" max="4" width="9.77734375" style="397" customWidth="1"/>
    <col min="5" max="5" width="18.77734375" style="397" customWidth="1"/>
    <col min="6" max="6" width="8.88671875" style="397"/>
    <col min="7" max="16384" width="8.88671875" style="384"/>
  </cols>
  <sheetData>
    <row r="1" spans="1:12" ht="14.4" thickBot="1" x14ac:dyDescent="0.3">
      <c r="A1" s="451"/>
      <c r="B1" s="452"/>
      <c r="C1" s="453"/>
    </row>
    <row r="2" spans="1:12" ht="14.4" thickBot="1" x14ac:dyDescent="0.3">
      <c r="B2" s="454" t="s">
        <v>387</v>
      </c>
      <c r="C2" s="455"/>
      <c r="D2" s="455"/>
      <c r="E2" s="456"/>
    </row>
    <row r="3" spans="1:12" s="397" customFormat="1" x14ac:dyDescent="0.3">
      <c r="B3" s="457" t="s">
        <v>367</v>
      </c>
      <c r="C3" s="458" t="s">
        <v>22</v>
      </c>
      <c r="D3" s="459" t="s">
        <v>375</v>
      </c>
      <c r="E3" s="460" t="s">
        <v>136</v>
      </c>
    </row>
    <row r="4" spans="1:12" s="397" customFormat="1" x14ac:dyDescent="0.3">
      <c r="B4" s="288"/>
      <c r="C4" s="406"/>
      <c r="D4" s="241"/>
      <c r="E4" s="419"/>
    </row>
    <row r="5" spans="1:12" s="397" customFormat="1" x14ac:dyDescent="0.3">
      <c r="B5" s="420" t="s">
        <v>43</v>
      </c>
      <c r="C5" s="406" t="s">
        <v>376</v>
      </c>
      <c r="D5" s="425">
        <v>30.6</v>
      </c>
      <c r="E5" s="426" t="s">
        <v>377</v>
      </c>
    </row>
    <row r="6" spans="1:12" s="397" customFormat="1" x14ac:dyDescent="0.3">
      <c r="B6" s="288"/>
      <c r="C6" s="428" t="s">
        <v>378</v>
      </c>
      <c r="D6" s="432">
        <v>11.48</v>
      </c>
      <c r="E6" s="426" t="s">
        <v>377</v>
      </c>
    </row>
    <row r="7" spans="1:12" s="397" customFormat="1" x14ac:dyDescent="0.3">
      <c r="B7" s="288"/>
      <c r="C7" s="406"/>
      <c r="D7" s="418"/>
      <c r="E7" s="419"/>
    </row>
    <row r="8" spans="1:12" s="397" customFormat="1" x14ac:dyDescent="0.3">
      <c r="B8" s="420" t="s">
        <v>48</v>
      </c>
      <c r="C8" s="406" t="s">
        <v>379</v>
      </c>
      <c r="D8" s="425">
        <v>25.36</v>
      </c>
      <c r="E8" s="426" t="s">
        <v>377</v>
      </c>
    </row>
    <row r="9" spans="1:12" s="397" customFormat="1" x14ac:dyDescent="0.3">
      <c r="B9" s="288"/>
      <c r="C9" s="406"/>
      <c r="D9" s="418"/>
      <c r="E9" s="419"/>
    </row>
    <row r="10" spans="1:12" s="397" customFormat="1" x14ac:dyDescent="0.3">
      <c r="B10" s="420" t="s">
        <v>380</v>
      </c>
      <c r="C10" s="406" t="s">
        <v>381</v>
      </c>
      <c r="D10" s="425">
        <v>22.04</v>
      </c>
      <c r="E10" s="426" t="s">
        <v>377</v>
      </c>
    </row>
    <row r="11" spans="1:12" s="397" customFormat="1" ht="14.4" thickBot="1" x14ac:dyDescent="0.35">
      <c r="B11" s="434"/>
      <c r="C11" s="282"/>
      <c r="D11" s="461"/>
      <c r="E11" s="439"/>
    </row>
    <row r="12" spans="1:12" s="397" customFormat="1" ht="14.4" thickBot="1" x14ac:dyDescent="0.3">
      <c r="C12" s="462"/>
      <c r="G12" s="384"/>
      <c r="H12" s="384"/>
      <c r="I12" s="384"/>
      <c r="J12" s="384"/>
      <c r="K12" s="384"/>
      <c r="L12" s="384"/>
    </row>
    <row r="13" spans="1:12" ht="14.4" thickBot="1" x14ac:dyDescent="0.3">
      <c r="B13" s="463" t="s">
        <v>382</v>
      </c>
      <c r="C13" s="332"/>
      <c r="D13" s="332"/>
      <c r="E13" s="333"/>
    </row>
    <row r="14" spans="1:12" x14ac:dyDescent="0.25">
      <c r="B14" s="464" t="s">
        <v>367</v>
      </c>
      <c r="C14" s="380" t="s">
        <v>383</v>
      </c>
      <c r="D14" s="465" t="s">
        <v>375</v>
      </c>
      <c r="E14" s="466" t="s">
        <v>136</v>
      </c>
    </row>
    <row r="15" spans="1:12" x14ac:dyDescent="0.25">
      <c r="B15" s="288"/>
      <c r="C15" s="406"/>
      <c r="D15" s="418"/>
      <c r="E15" s="419"/>
    </row>
    <row r="16" spans="1:12" x14ac:dyDescent="0.25">
      <c r="B16" s="420" t="s">
        <v>384</v>
      </c>
      <c r="C16" s="406" t="s">
        <v>74</v>
      </c>
      <c r="D16" s="425">
        <v>26.14</v>
      </c>
      <c r="E16" s="426" t="s">
        <v>377</v>
      </c>
    </row>
    <row r="17" spans="2:5" ht="14.4" thickBot="1" x14ac:dyDescent="0.3">
      <c r="B17" s="434"/>
      <c r="C17" s="440"/>
      <c r="D17" s="443"/>
      <c r="E17" s="439"/>
    </row>
    <row r="18" spans="2:5" ht="14.4" thickBot="1" x14ac:dyDescent="0.3"/>
    <row r="19" spans="2:5" ht="14.4" thickBot="1" x14ac:dyDescent="0.3">
      <c r="B19" s="463" t="s">
        <v>388</v>
      </c>
      <c r="C19" s="332"/>
      <c r="D19" s="332"/>
      <c r="E19" s="333"/>
    </row>
    <row r="20" spans="2:5" x14ac:dyDescent="0.25">
      <c r="B20" s="464" t="s">
        <v>367</v>
      </c>
      <c r="C20" s="380" t="s">
        <v>383</v>
      </c>
      <c r="D20" s="465" t="s">
        <v>375</v>
      </c>
      <c r="E20" s="466" t="s">
        <v>136</v>
      </c>
    </row>
    <row r="21" spans="2:5" x14ac:dyDescent="0.25">
      <c r="B21" s="288"/>
      <c r="C21" s="406"/>
      <c r="D21" s="418"/>
      <c r="E21" s="419"/>
    </row>
    <row r="22" spans="2:5" x14ac:dyDescent="0.25">
      <c r="B22" s="447" t="s">
        <v>283</v>
      </c>
      <c r="C22" s="406" t="s">
        <v>386</v>
      </c>
      <c r="D22" s="425">
        <v>25.08</v>
      </c>
      <c r="E22" s="426" t="s">
        <v>377</v>
      </c>
    </row>
    <row r="23" spans="2:5" ht="14.4" thickBot="1" x14ac:dyDescent="0.3">
      <c r="B23" s="434"/>
      <c r="C23" s="440"/>
      <c r="D23" s="443"/>
      <c r="E23" s="439"/>
    </row>
  </sheetData>
  <mergeCells count="3">
    <mergeCell ref="B2:E2"/>
    <mergeCell ref="B13:E13"/>
    <mergeCell ref="B19:E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E1F7-3D2F-430F-A60E-20CE7F3A77BD}">
  <dimension ref="B1:E26"/>
  <sheetViews>
    <sheetView tabSelected="1" workbookViewId="0">
      <selection activeCell="K18" sqref="K18:K19"/>
    </sheetView>
  </sheetViews>
  <sheetFormatPr defaultColWidth="8.88671875" defaultRowHeight="13.8" x14ac:dyDescent="0.25"/>
  <cols>
    <col min="1" max="1" width="8.88671875" style="384"/>
    <col min="2" max="2" width="9.33203125" style="384" bestFit="1" customWidth="1"/>
    <col min="3" max="3" width="24.33203125" style="384" bestFit="1" customWidth="1"/>
    <col min="4" max="4" width="24.6640625" style="384" bestFit="1" customWidth="1"/>
    <col min="5" max="16384" width="8.88671875" style="384"/>
  </cols>
  <sheetData>
    <row r="1" spans="2:5" ht="14.4" thickBot="1" x14ac:dyDescent="0.3"/>
    <row r="2" spans="2:5" ht="14.4" thickBot="1" x14ac:dyDescent="0.3">
      <c r="B2" s="463" t="s">
        <v>389</v>
      </c>
      <c r="C2" s="332"/>
      <c r="D2" s="332"/>
      <c r="E2" s="333"/>
    </row>
    <row r="3" spans="2:5" ht="14.4" thickBot="1" x14ac:dyDescent="0.3">
      <c r="B3" s="467" t="s">
        <v>390</v>
      </c>
      <c r="C3" s="468"/>
      <c r="D3" s="468"/>
      <c r="E3" s="469"/>
    </row>
    <row r="4" spans="2:5" x14ac:dyDescent="0.25">
      <c r="B4" s="470" t="s">
        <v>30</v>
      </c>
      <c r="C4" s="471" t="s">
        <v>391</v>
      </c>
      <c r="D4" s="471" t="s">
        <v>392</v>
      </c>
      <c r="E4" s="472" t="s">
        <v>239</v>
      </c>
    </row>
    <row r="5" spans="2:5" x14ac:dyDescent="0.25">
      <c r="B5" s="288" t="s">
        <v>24</v>
      </c>
      <c r="C5" s="406"/>
      <c r="D5" s="406"/>
      <c r="E5" s="419" t="s">
        <v>393</v>
      </c>
    </row>
    <row r="6" spans="2:5" x14ac:dyDescent="0.25">
      <c r="B6" s="427"/>
      <c r="C6" s="389"/>
      <c r="D6" s="392"/>
      <c r="E6" s="426"/>
    </row>
    <row r="7" spans="2:5" x14ac:dyDescent="0.25">
      <c r="B7" s="288" t="s">
        <v>394</v>
      </c>
      <c r="C7" s="389">
        <v>24</v>
      </c>
      <c r="D7" s="392">
        <v>12</v>
      </c>
      <c r="E7" s="419" t="s">
        <v>395</v>
      </c>
    </row>
    <row r="8" spans="2:5" ht="14.4" thickBot="1" x14ac:dyDescent="0.3">
      <c r="B8" s="434"/>
      <c r="C8" s="440"/>
      <c r="D8" s="473"/>
      <c r="E8" s="474"/>
    </row>
    <row r="10" spans="2:5" ht="14.4" thickBot="1" x14ac:dyDescent="0.3"/>
    <row r="11" spans="2:5" ht="14.4" thickBot="1" x14ac:dyDescent="0.3">
      <c r="B11" s="463" t="s">
        <v>396</v>
      </c>
      <c r="C11" s="332"/>
      <c r="D11" s="332"/>
      <c r="E11" s="333"/>
    </row>
    <row r="12" spans="2:5" ht="14.4" thickBot="1" x14ac:dyDescent="0.3">
      <c r="B12" s="467" t="s">
        <v>397</v>
      </c>
      <c r="C12" s="468"/>
      <c r="D12" s="468"/>
      <c r="E12" s="469"/>
    </row>
    <row r="13" spans="2:5" x14ac:dyDescent="0.25">
      <c r="B13" s="470" t="s">
        <v>30</v>
      </c>
      <c r="C13" s="471" t="s">
        <v>398</v>
      </c>
      <c r="D13" s="471" t="s">
        <v>399</v>
      </c>
      <c r="E13" s="472" t="s">
        <v>239</v>
      </c>
    </row>
    <row r="14" spans="2:5" x14ac:dyDescent="0.25">
      <c r="B14" s="288" t="s">
        <v>24</v>
      </c>
      <c r="C14" s="406"/>
      <c r="D14" s="406"/>
      <c r="E14" s="419" t="s">
        <v>393</v>
      </c>
    </row>
    <row r="15" spans="2:5" x14ac:dyDescent="0.25">
      <c r="B15" s="427"/>
      <c r="C15" s="389"/>
      <c r="D15" s="392"/>
      <c r="E15" s="426"/>
    </row>
    <row r="16" spans="2:5" x14ac:dyDescent="0.25">
      <c r="B16" s="288" t="s">
        <v>400</v>
      </c>
      <c r="C16" s="389">
        <v>6</v>
      </c>
      <c r="D16" s="392">
        <v>6</v>
      </c>
      <c r="E16" s="419" t="s">
        <v>395</v>
      </c>
    </row>
    <row r="17" spans="2:5" ht="14.4" thickBot="1" x14ac:dyDescent="0.3">
      <c r="B17" s="434"/>
      <c r="C17" s="440"/>
      <c r="D17" s="473"/>
      <c r="E17" s="474"/>
    </row>
    <row r="19" spans="2:5" ht="14.4" thickBot="1" x14ac:dyDescent="0.3"/>
    <row r="20" spans="2:5" ht="14.4" thickBot="1" x14ac:dyDescent="0.3">
      <c r="B20" s="463" t="s">
        <v>401</v>
      </c>
      <c r="C20" s="332"/>
      <c r="D20" s="332"/>
      <c r="E20" s="333"/>
    </row>
    <row r="21" spans="2:5" ht="14.4" thickBot="1" x14ac:dyDescent="0.3">
      <c r="B21" s="467" t="s">
        <v>402</v>
      </c>
      <c r="C21" s="468"/>
      <c r="D21" s="468"/>
      <c r="E21" s="469"/>
    </row>
    <row r="22" spans="2:5" x14ac:dyDescent="0.25">
      <c r="B22" s="470" t="s">
        <v>30</v>
      </c>
      <c r="C22" s="471" t="s">
        <v>403</v>
      </c>
      <c r="D22" s="471"/>
      <c r="E22" s="472" t="s">
        <v>239</v>
      </c>
    </row>
    <row r="23" spans="2:5" x14ac:dyDescent="0.25">
      <c r="B23" s="288" t="s">
        <v>24</v>
      </c>
      <c r="C23" s="406"/>
      <c r="D23" s="406"/>
      <c r="E23" s="419" t="s">
        <v>393</v>
      </c>
    </row>
    <row r="24" spans="2:5" x14ac:dyDescent="0.25">
      <c r="B24" s="427"/>
      <c r="C24" s="389"/>
      <c r="D24" s="392"/>
      <c r="E24" s="426"/>
    </row>
    <row r="25" spans="2:5" x14ac:dyDescent="0.25">
      <c r="B25" s="288" t="s">
        <v>394</v>
      </c>
      <c r="C25" s="389">
        <v>24</v>
      </c>
      <c r="D25" s="392"/>
      <c r="E25" s="419" t="s">
        <v>395</v>
      </c>
    </row>
    <row r="26" spans="2:5" ht="14.4" thickBot="1" x14ac:dyDescent="0.3">
      <c r="B26" s="434"/>
      <c r="C26" s="440"/>
      <c r="D26" s="473"/>
      <c r="E26" s="474"/>
    </row>
  </sheetData>
  <mergeCells count="6">
    <mergeCell ref="B2:E2"/>
    <mergeCell ref="B3:E3"/>
    <mergeCell ref="B11:E11"/>
    <mergeCell ref="B12:E12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REVISION SHEET</vt:lpstr>
      <vt:lpstr>BOM - P33 - VD SKID</vt:lpstr>
      <vt:lpstr>P33- Pipe &amp; Fittings</vt:lpstr>
      <vt:lpstr>P33 - MTO - VALVES</vt:lpstr>
      <vt:lpstr>TCV</vt:lpstr>
      <vt:lpstr>TT</vt:lpstr>
      <vt:lpstr>NUT &amp; BOLTS</vt:lpstr>
      <vt:lpstr>EQUIP. INSULATION</vt:lpstr>
      <vt:lpstr>BOQ - INSULATION</vt:lpstr>
      <vt:lpstr>COLOR &amp; RED OXIDE</vt:lpstr>
      <vt:lpstr>POWER CABLE- Calculation</vt:lpstr>
      <vt:lpstr>BOQ - Cable Length</vt:lpstr>
      <vt:lpstr>BOQ - CABLE TRAY &amp; 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nasirchvda580@gmail.com</dc:creator>
  <cp:lastModifiedBy>Zahir Sindhi</cp:lastModifiedBy>
  <dcterms:created xsi:type="dcterms:W3CDTF">2026-08-27T04:54:30Z</dcterms:created>
  <dcterms:modified xsi:type="dcterms:W3CDTF">2026-09-13T09:12:32Z</dcterms:modified>
</cp:coreProperties>
</file>